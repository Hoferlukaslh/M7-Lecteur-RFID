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metadata.xml" ContentType="application/vnd.openxmlformats-officedocument.spreadsheetml.sheetMetadata+xml"/>
  <Override PartName="/xl/charts/chart2.xml" ContentType="application/vnd.openxmlformats-officedocument.drawingml.chart+xml"/>
  <Override PartName="/xl/charts/style2.xml" ContentType="application/vnd.ms-office.chartstyl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Journal!$B$2:$H$33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<sst xmlns="http://schemas.openxmlformats.org/spreadsheetml/2006/main" count="107" uniqueCount="107">
  <si>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</si>
  <si>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</si>
  <si>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</si>
  <si>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</si>
  <si>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</si>
  <si>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</si>
  <si>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</si>
  <si>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</si>
  <si>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</si>
  <si>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</si>
  <si>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</si>
  <si>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</si>
  <si>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</si>
  <si>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</si>
  <si>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</si>
  <si>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</si>
  <si>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</si>
  <si>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</si>
  <si>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</si>
  <si>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</si>
  <si>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</si>
  <si>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</si>
  <si>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Présentation</t>
  </si>
  <si>
    <t>Somme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</si>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</sst>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9720"/>
          <c:y val="0.130670"/>
          <c:w val="0.90054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Journal!$G$3:$G$9</c:f>
              <c:strCache>
                <c:ptCount val="7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Présentation</c:v>
                </c:pt>
              </c:strCache>
            </c:strRef>
          </c:cat>
          <c:val>
            <c:numRef>
              <c:f>Journal!$H$3:$H$9</c:f>
              <c:numCache>
                <c:formatCode>0.0" H";@</c:formatCode>
                <c:ptCount val="7"/>
                <c:pt idx="0">
                  <c:v>0</c:v>
                </c:pt>
                <c:pt idx="1">
                  <c:v>2.5</c:v>
                </c:pt>
                <c:pt idx="2">
                  <c:v>0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25996" y="181144"/>
      <a:ext cx="3716096" cy="29518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367746</xdr:colOff>
      <xdr:row>1</xdr:row>
      <xdr:rowOff>2550</xdr:rowOff>
    </xdr:from>
    <xdr:to>
      <xdr:col>14</xdr:col>
      <xdr:colOff>458389</xdr:colOff>
      <xdr:row>16</xdr:row>
      <xdr:rowOff>90996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25996" y="181144"/>
        <a:ext cx="3716096" cy="295189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9">
  <autoFilter ref="B2:E9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Row],[somme]]/$H$10</f>
        <v>0</v>
      </c>
      <c r="J3" s="12" t="str" cm="1">
        <f t="array" ref="J3">_xlfn._xlws.FILTER(G3:G10,H3:H10&gt;0)</f>
        <v>Plannification</v>
      </c>
      <c r="K3" s="13" cm="1">
        <f t="array" ref="K3">_xlfn._xlws.FILTER(H3:H10,H3:H10&gt;0)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Row],[somme]]/$H$10</f>
        <v>0.11904761904761904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3.4999999999999996</v>
      </c>
      <c r="I5" s="11">
        <f>types[[#This Row],[somme]]/$H$10</f>
        <v>0.16666666666666666</v>
      </c>
      <c r="J5" s="4"/>
      <c r="K5" s="13"/>
    </row>
    <row r="6">
      <c r="B6" s="5" t="s">
        <v>12</v>
      </c>
      <c r="C6" s="6">
        <v>0.083333333333333329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</v>
      </c>
      <c r="I6" s="11">
        <f>types[[#This Row],[somme]]/$H$10</f>
        <v>0.7142857142857143</v>
      </c>
      <c r="J6" s="4"/>
      <c r="K6" s="13"/>
    </row>
    <row r="7">
      <c r="B7" s="5" t="s">
        <v>12</v>
      </c>
      <c r="C7" s="6">
        <v>0.083333333333333329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Row],[somme]]/$H$10</f>
        <v>0</v>
      </c>
      <c r="J7" s="4"/>
      <c r="K7" s="13"/>
    </row>
    <row r="8" ht="28.5">
      <c r="B8" s="14" t="s">
        <v>18</v>
      </c>
      <c r="C8" s="6">
        <v>0.0625</v>
      </c>
      <c r="D8" s="15" t="s">
        <v>14</v>
      </c>
      <c r="E8" s="16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Row],[somme]]/$H$10</f>
        <v>0</v>
      </c>
      <c r="J8" s="4"/>
      <c r="K8" s="13"/>
    </row>
    <row r="9">
      <c r="B9" s="14" t="s">
        <v>18</v>
      </c>
      <c r="C9" s="6">
        <v>0.125</v>
      </c>
      <c r="D9" s="15" t="s">
        <v>6</v>
      </c>
      <c r="E9" s="16" t="s">
        <v>21</v>
      </c>
      <c r="G9" s="17" t="s">
        <v>22</v>
      </c>
      <c r="H9" s="18">
        <f>SUMIF(Journal[type de travail],types[[#This Row],[type de travail]],Journal[Temps])*24</f>
        <v>0</v>
      </c>
      <c r="I9" s="11">
        <f>types[[#This Row],[somme]]/$H$10</f>
        <v>0</v>
      </c>
      <c r="J9" s="4"/>
      <c r="K9" s="19"/>
    </row>
    <row r="10">
      <c r="B10" s="5"/>
      <c r="C10" s="6"/>
      <c r="D10" s="7"/>
      <c r="E10" s="8"/>
      <c r="G10" s="7" t="s">
        <v>23</v>
      </c>
      <c r="H10" s="10">
        <f>SUM(H3:H9)</f>
        <v>21</v>
      </c>
      <c r="I10" s="11">
        <f>types[[#This Row],[somme]]/$H$10</f>
        <v>1</v>
      </c>
      <c r="J10" s="4"/>
      <c r="K10" s="4"/>
    </row>
    <row r="11" ht="28.5">
      <c r="B11" s="5"/>
      <c r="C11" s="6"/>
      <c r="D11" s="7"/>
      <c r="E11" s="8"/>
      <c r="H11" s="10"/>
      <c r="J11" s="4"/>
      <c r="K11" s="4"/>
    </row>
    <row r="12">
      <c r="B12" s="5"/>
      <c r="C12" s="6"/>
      <c r="D12" s="7"/>
      <c r="E12" s="8"/>
      <c r="G12" t="s">
        <v>24</v>
      </c>
      <c r="H12" s="10">
        <f>SUM(Plannification!C2:S2)-H10</f>
        <v>54</v>
      </c>
    </row>
    <row r="13" ht="42.75">
      <c r="B13" s="5"/>
      <c r="C13" s="6"/>
      <c r="D13" s="7"/>
      <c r="E13" s="8"/>
    </row>
    <row r="14" ht="28.5">
      <c r="B14" s="5"/>
      <c r="C14" s="6"/>
      <c r="D14" s="7"/>
      <c r="E14" s="8"/>
    </row>
    <row r="15" ht="28.5">
      <c r="B15" s="5"/>
      <c r="C15" s="6"/>
      <c r="D15" s="7"/>
      <c r="E15" s="8"/>
    </row>
    <row r="16">
      <c r="B16" s="5"/>
      <c r="C16" s="6"/>
      <c r="D16" s="7"/>
      <c r="E16" s="8"/>
    </row>
    <row r="17" ht="28.5">
      <c r="B17" s="5"/>
      <c r="C17" s="6"/>
      <c r="D17" s="7"/>
      <c r="E17" s="8"/>
    </row>
    <row r="18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 ht="28.5">
      <c r="B28" s="5"/>
      <c r="C28" s="6"/>
      <c r="D28" s="7"/>
      <c r="E28" s="8"/>
    </row>
    <row r="29">
      <c r="B29" s="5"/>
      <c r="C29" s="6"/>
      <c r="D29" s="7"/>
      <c r="E29" s="8"/>
    </row>
    <row r="30" ht="42.75">
      <c r="B30" s="5"/>
      <c r="C30" s="6"/>
      <c r="D30" s="7"/>
      <c r="E30" s="8"/>
    </row>
    <row r="31" ht="28.5">
      <c r="B31" s="5"/>
      <c r="C31" s="6"/>
      <c r="D31" s="7"/>
      <c r="E31" s="8"/>
    </row>
    <row r="32" ht="57">
      <c r="B32" s="5"/>
      <c r="C32" s="6"/>
      <c r="D32" s="7"/>
      <c r="E32" s="8"/>
    </row>
    <row r="33">
      <c r="B33" s="5"/>
      <c r="C33" s="6"/>
      <c r="D33" s="7"/>
      <c r="E33" s="8"/>
    </row>
    <row r="34" ht="28.5">
      <c r="B34" s="5"/>
      <c r="C34" s="6"/>
      <c r="D34" s="7"/>
      <c r="E34" s="8"/>
    </row>
    <row r="35">
      <c r="B35" s="5"/>
      <c r="C35" s="6"/>
      <c r="D35" s="7"/>
      <c r="E35" s="8"/>
    </row>
    <row r="36">
      <c r="B36" s="5"/>
      <c r="C36" s="6"/>
      <c r="D36" s="7"/>
      <c r="E36" s="8"/>
    </row>
    <row r="37" ht="28.5">
      <c r="B37" s="5"/>
      <c r="C37" s="6"/>
      <c r="D37" s="7"/>
      <c r="E37" s="8"/>
    </row>
    <row r="38" ht="57">
      <c r="B38" s="5"/>
      <c r="C38" s="6"/>
      <c r="D38" s="7"/>
      <c r="E38" s="8"/>
    </row>
    <row r="39" ht="28.5">
      <c r="B39" s="5"/>
      <c r="C39" s="6"/>
      <c r="D39" s="7"/>
      <c r="E39" s="8"/>
      <c r="H39" s="20"/>
      <c r="I39" s="21"/>
      <c r="J39" s="22"/>
    </row>
    <row r="40">
      <c r="B40" s="5"/>
      <c r="C40" s="6"/>
      <c r="D40" s="7"/>
      <c r="E40" s="8"/>
    </row>
    <row r="41" ht="42.75">
      <c r="B41" s="5"/>
      <c r="C41" s="6"/>
      <c r="D41" s="7"/>
      <c r="E41" s="8"/>
    </row>
    <row r="42" ht="42.75">
      <c r="B42" s="5"/>
      <c r="C42" s="6"/>
      <c r="D42" s="7"/>
      <c r="E42" s="8"/>
    </row>
    <row r="43" ht="28.5">
      <c r="B43" s="5"/>
      <c r="C43" s="6"/>
      <c r="D43" s="7"/>
      <c r="E43" s="8"/>
    </row>
    <row r="44" ht="57">
      <c r="B44" s="5"/>
      <c r="C44" s="6"/>
      <c r="D44" s="7"/>
      <c r="E44" s="8"/>
    </row>
    <row r="45">
      <c r="B45" s="5"/>
      <c r="C45" s="6"/>
      <c r="D45" s="7"/>
      <c r="E45" s="8"/>
    </row>
    <row r="46">
      <c r="B46" s="5"/>
      <c r="C46" s="6"/>
      <c r="D46" s="7"/>
      <c r="E46" s="8"/>
    </row>
    <row r="47" ht="42.75">
      <c r="B47" s="5"/>
      <c r="C47" s="6"/>
      <c r="D47" s="7"/>
      <c r="E47" s="8"/>
    </row>
    <row r="48" ht="28.5">
      <c r="B48" s="23"/>
      <c r="C48" s="24"/>
      <c r="D48" s="7"/>
      <c r="E48" s="8"/>
    </row>
    <row r="49" ht="42.75">
      <c r="B49" s="23"/>
      <c r="C49" s="24"/>
      <c r="D49" s="7"/>
      <c r="E49" s="8"/>
    </row>
    <row r="50" ht="57">
      <c r="B50" s="23"/>
      <c r="C50" s="24"/>
      <c r="D50" s="7"/>
      <c r="E50" s="8"/>
    </row>
    <row r="51" ht="28.5">
      <c r="B51" s="23"/>
      <c r="C51" s="24"/>
      <c r="D51" s="7"/>
      <c r="E51" s="8"/>
    </row>
    <row r="52" ht="28.5">
      <c r="B52" s="23"/>
      <c r="C52" s="24"/>
      <c r="D52" s="7"/>
      <c r="E52" s="8"/>
    </row>
    <row r="53">
      <c r="B53" s="23"/>
      <c r="C53" s="25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7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25001D-007C-4000-8E90-00BB00850032}" type="list" allowBlank="1" errorStyle="stop" imeMode="noControl" operator="between" showDropDown="0" showErrorMessage="1" showInputMessage="1">
          <x14:formula1>
            <xm:f>$G$3:$G$10</xm:f>
          </x14:formula1>
          <xm:sqref>D8:D55</xm:sqref>
        </x14:dataValidation>
        <x14:dataValidation xr:uid="{00D7006A-002D-4CFE-8984-004900140053}" type="list" allowBlank="1" errorStyle="stop" imeMode="noControl" operator="between" showDropDown="0" showErrorMessage="1" showInputMessage="1">
          <x14:formula1>
            <xm:f>$G$3:$G$9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5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0.1875</v>
      </c>
      <c r="C5"/>
    </row>
    <row r="6">
      <c r="A6" s="26"/>
      <c r="B6" s="27">
        <f>SUMIF(Journal[date],SommeParJours!A6,Journal[Temps])</f>
        <v>0</v>
      </c>
      <c r="C6"/>
    </row>
    <row r="7">
      <c r="A7" s="26"/>
      <c r="B7" s="27">
        <f>SUMIF(Journal[date],SommeParJours!A7,Journal[Temps])</f>
        <v>0</v>
      </c>
      <c r="C7"/>
    </row>
    <row r="8">
      <c r="A8" s="26"/>
      <c r="B8" s="27">
        <f>SUMIF(Journal[date],SommeParJours!A8,Journal[Temps])</f>
        <v>0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bestFit="1" customWidth="1" min="23" max="23" width="30.61328125"/>
    <col customWidth="1" min="24" max="29" width="3.44140625"/>
  </cols>
  <sheetData>
    <row r="1" s="32" customFormat="1" ht="66.599999999999994" customHeight="1">
      <c r="A1" s="33" t="s">
        <v>25</v>
      </c>
      <c r="B1" s="34" t="s">
        <v>26</v>
      </c>
      <c r="C1" s="35" t="s">
        <v>5</v>
      </c>
      <c r="D1" s="35" t="s">
        <v>9</v>
      </c>
      <c r="E1" s="35" t="s">
        <v>12</v>
      </c>
      <c r="F1" s="35" t="s">
        <v>27</v>
      </c>
      <c r="G1" s="35" t="s">
        <v>28</v>
      </c>
      <c r="H1" s="35" t="s">
        <v>29</v>
      </c>
      <c r="I1" s="36" t="s">
        <v>30</v>
      </c>
      <c r="J1" s="36" t="s">
        <v>31</v>
      </c>
      <c r="K1" s="35" t="s">
        <v>32</v>
      </c>
      <c r="L1" s="35" t="s">
        <v>33</v>
      </c>
      <c r="M1" s="35" t="s">
        <v>34</v>
      </c>
      <c r="N1" s="35" t="s">
        <v>35</v>
      </c>
      <c r="O1" s="35" t="s">
        <v>36</v>
      </c>
      <c r="P1" s="35" t="s">
        <v>37</v>
      </c>
      <c r="Q1" s="35" t="s">
        <v>38</v>
      </c>
      <c r="R1" s="35" t="s">
        <v>39</v>
      </c>
      <c r="S1" s="35" t="s">
        <v>40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41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42</v>
      </c>
      <c r="B3" s="39" t="s">
        <v>43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44</v>
      </c>
      <c r="W4" s="7" t="s">
        <v>45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46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47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48</v>
      </c>
      <c r="B12" s="83" t="s">
        <v>49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4"/>
      <c r="F13" s="55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50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62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51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52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53</v>
      </c>
      <c r="B20" s="83" t="s">
        <v>54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55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56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57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58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59</v>
      </c>
      <c r="B30" s="94" t="s">
        <v>60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61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62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63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64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65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66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67</v>
      </c>
      <c r="B44" s="45" t="s">
        <v>22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68</v>
      </c>
      <c r="W45" s="61"/>
    </row>
    <row r="46" ht="10.5" customHeight="1">
      <c r="A46" s="52"/>
      <c r="B46" s="103" t="s">
        <v>69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70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71</v>
      </c>
      <c r="W47" s="67"/>
    </row>
    <row r="54" ht="14.25">
      <c r="V54" s="105">
        <v>46185</v>
      </c>
      <c r="W54" t="s">
        <v>72</v>
      </c>
    </row>
    <row r="55" ht="14.25">
      <c r="V55">
        <v>17</v>
      </c>
      <c r="W55" t="s">
        <v>73</v>
      </c>
    </row>
    <row r="56" ht="14.25">
      <c r="V56">
        <v>18</v>
      </c>
      <c r="W56" t="s">
        <v>74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25</v>
      </c>
      <c r="C2" s="108" t="s">
        <v>26</v>
      </c>
      <c r="D2" s="109" t="s">
        <v>75</v>
      </c>
      <c r="E2" s="110" t="s">
        <v>76</v>
      </c>
      <c r="F2" s="111" t="s">
        <v>77</v>
      </c>
      <c r="G2" s="111"/>
      <c r="H2" s="111"/>
      <c r="I2" s="110"/>
      <c r="J2" s="111" t="s">
        <v>78</v>
      </c>
      <c r="K2" s="111"/>
      <c r="L2" s="111"/>
      <c r="M2" s="110"/>
      <c r="N2" s="111" t="s">
        <v>79</v>
      </c>
      <c r="O2" s="111"/>
      <c r="P2" s="111"/>
      <c r="Q2" s="110"/>
      <c r="R2" s="111" t="s">
        <v>80</v>
      </c>
      <c r="S2" s="112"/>
      <c r="AD2" s="30"/>
    </row>
    <row r="3">
      <c r="B3" s="113"/>
      <c r="C3" s="114"/>
      <c r="D3" s="115" t="s">
        <v>42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81</v>
      </c>
    </row>
    <row r="4" ht="12" customHeight="1">
      <c r="B4" s="120" t="s">
        <v>82</v>
      </c>
      <c r="C4" s="108" t="s">
        <v>83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84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85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86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87</v>
      </c>
    </row>
    <row r="8" ht="12" customHeight="1">
      <c r="B8" s="120"/>
      <c r="C8" s="135" t="s">
        <v>88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89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90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91</v>
      </c>
      <c r="C12" s="108" t="s">
        <v>92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93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94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95</v>
      </c>
      <c r="C18" s="108" t="s">
        <v>96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97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98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99</v>
      </c>
      <c r="C24" s="108" t="s">
        <v>100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101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102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103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104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105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106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34</cp:revision>
  <dcterms:created xsi:type="dcterms:W3CDTF">2025-03-25T12:56:59Z</dcterms:created>
  <dcterms:modified xsi:type="dcterms:W3CDTF">2026-05-01T16:11:36Z</dcterms:modified>
</cp:coreProperties>
</file>