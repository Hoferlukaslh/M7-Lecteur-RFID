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<sst xmlns="http://schemas.openxmlformats.org/spreadsheetml/2006/main" count="115" uniqueCount="115">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</sst>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6">
  <autoFilter ref="B2:E1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7.5000000000000011e-002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0.17999999999999999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15.833333333333332</v>
      </c>
      <c r="I6" s="11">
        <f>types[[#This Row],[somme]]/$H$11</f>
        <v>0.47500000000000003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9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33.333333333333329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0.10416666666666667</v>
      </c>
      <c r="D13" s="7" t="s">
        <v>22</v>
      </c>
      <c r="E13" s="8" t="s">
        <v>28</v>
      </c>
      <c r="G13" t="s">
        <v>29</v>
      </c>
      <c r="H13" s="10">
        <f>SUM(Plannification!C2:S2)-H11</f>
        <v>41.666666666666671</v>
      </c>
    </row>
    <row r="14" ht="42.75">
      <c r="B14" s="17">
        <v>46146</v>
      </c>
      <c r="C14" s="6">
        <v>6.25e-002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1.3888888888888888e-002</v>
      </c>
      <c r="D16" s="18" t="s">
        <v>6</v>
      </c>
      <c r="E16" s="19" t="s">
        <v>32</v>
      </c>
    </row>
    <row r="17">
      <c r="B17" s="5"/>
      <c r="C17" s="6"/>
      <c r="D17" s="7"/>
      <c r="E17" s="8"/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0"/>
      <c r="I40" s="21"/>
      <c r="J40" s="22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3"/>
      <c r="C49" s="24"/>
      <c r="D49" s="7"/>
      <c r="E49" s="8"/>
    </row>
    <row r="50" ht="42.75">
      <c r="B50" s="23"/>
      <c r="C50" s="24"/>
      <c r="D50" s="7"/>
      <c r="E50" s="8"/>
    </row>
    <row r="51" ht="57">
      <c r="B51" s="23"/>
      <c r="C51" s="24"/>
      <c r="D51" s="7"/>
      <c r="E51" s="8"/>
    </row>
    <row r="52" ht="28.5">
      <c r="B52" s="23"/>
      <c r="C52" s="24"/>
      <c r="D52" s="7"/>
      <c r="E52" s="8"/>
    </row>
    <row r="53" ht="28.5">
      <c r="B53" s="23"/>
      <c r="C53" s="24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23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  <row r="81">
      <c r="B81" s="7"/>
      <c r="C81" s="25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F600EE-0089-439D-B800-00B6005000A5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190095-0040-40AD-9CD4-001A00E80027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7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>
        <f/>
        <v>46146</v>
      </c>
      <c r="B6" s="27">
        <f>SUMIF(Journal[date],SommeParJours!A6,Journal[Temps])</f>
        <v>0.25</v>
      </c>
      <c r="C6"/>
    </row>
    <row r="7">
      <c r="A7" s="26">
        <f/>
        <v>46147</v>
      </c>
      <c r="B7" s="27">
        <f>SUMIF(Journal[date],SommeParJours!A7,Journal[Temps])</f>
        <v>0.1388888888888889</v>
      </c>
      <c r="C7"/>
    </row>
    <row r="8">
      <c r="A8" s="26"/>
      <c r="B8" s="27">
        <f>SUMIF(Journal[date],SommeParJours!A8,Journal[Temps])</f>
        <v>0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2" customFormat="1" ht="66.599999999999994" customHeight="1">
      <c r="A1" s="33" t="s">
        <v>33</v>
      </c>
      <c r="B1" s="34" t="s">
        <v>34</v>
      </c>
      <c r="C1" s="35" t="s">
        <v>5</v>
      </c>
      <c r="D1" s="35" t="s">
        <v>9</v>
      </c>
      <c r="E1" s="35" t="s">
        <v>12</v>
      </c>
      <c r="F1" s="35" t="s">
        <v>35</v>
      </c>
      <c r="G1" s="35" t="s">
        <v>36</v>
      </c>
      <c r="H1" s="35" t="s">
        <v>37</v>
      </c>
      <c r="I1" s="36" t="s">
        <v>38</v>
      </c>
      <c r="J1" s="36" t="s">
        <v>39</v>
      </c>
      <c r="K1" s="35" t="s">
        <v>40</v>
      </c>
      <c r="L1" s="35" t="s">
        <v>41</v>
      </c>
      <c r="M1" s="35" t="s">
        <v>42</v>
      </c>
      <c r="N1" s="35" t="s">
        <v>43</v>
      </c>
      <c r="O1" s="35" t="s">
        <v>44</v>
      </c>
      <c r="P1" s="35" t="s">
        <v>45</v>
      </c>
      <c r="Q1" s="35" t="s">
        <v>46</v>
      </c>
      <c r="R1" s="35" t="s">
        <v>47</v>
      </c>
      <c r="S1" s="35" t="s">
        <v>48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49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50</v>
      </c>
      <c r="B3" s="39" t="s">
        <v>51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52</v>
      </c>
      <c r="W4" s="7" t="s">
        <v>53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54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55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56</v>
      </c>
      <c r="B12" s="83" t="s">
        <v>57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4"/>
      <c r="F13" s="55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58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62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59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60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61</v>
      </c>
      <c r="B20" s="83" t="s">
        <v>62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63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64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65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66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67</v>
      </c>
      <c r="B30" s="94" t="s">
        <v>68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69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70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71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72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73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74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75</v>
      </c>
      <c r="B44" s="45" t="s">
        <v>24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76</v>
      </c>
      <c r="W45" s="61"/>
    </row>
    <row r="46" ht="10.5" customHeight="1">
      <c r="A46" s="52"/>
      <c r="B46" s="103" t="s">
        <v>77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78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79</v>
      </c>
      <c r="W47" s="67"/>
    </row>
    <row r="54" ht="14.25">
      <c r="V54" s="105">
        <v>46185</v>
      </c>
      <c r="W54" t="s">
        <v>80</v>
      </c>
    </row>
    <row r="55" ht="14.25">
      <c r="V55">
        <v>17</v>
      </c>
      <c r="W55" t="s">
        <v>81</v>
      </c>
    </row>
    <row r="56" ht="14.25">
      <c r="V56">
        <v>18</v>
      </c>
      <c r="W56" t="s">
        <v>82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33</v>
      </c>
      <c r="C2" s="108" t="s">
        <v>34</v>
      </c>
      <c r="D2" s="109" t="s">
        <v>83</v>
      </c>
      <c r="E2" s="110" t="s">
        <v>84</v>
      </c>
      <c r="F2" s="111" t="s">
        <v>85</v>
      </c>
      <c r="G2" s="111"/>
      <c r="H2" s="111"/>
      <c r="I2" s="110"/>
      <c r="J2" s="111" t="s">
        <v>86</v>
      </c>
      <c r="K2" s="111"/>
      <c r="L2" s="111"/>
      <c r="M2" s="110"/>
      <c r="N2" s="111" t="s">
        <v>87</v>
      </c>
      <c r="O2" s="111"/>
      <c r="P2" s="111"/>
      <c r="Q2" s="110"/>
      <c r="R2" s="111" t="s">
        <v>88</v>
      </c>
      <c r="S2" s="112"/>
      <c r="AD2" s="30"/>
    </row>
    <row r="3">
      <c r="B3" s="113"/>
      <c r="C3" s="114"/>
      <c r="D3" s="115" t="s">
        <v>50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89</v>
      </c>
    </row>
    <row r="4" ht="12" customHeight="1">
      <c r="B4" s="120" t="s">
        <v>90</v>
      </c>
      <c r="C4" s="108" t="s">
        <v>91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92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93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94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95</v>
      </c>
    </row>
    <row r="8" ht="12" customHeight="1">
      <c r="B8" s="120"/>
      <c r="C8" s="135" t="s">
        <v>96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97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98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99</v>
      </c>
      <c r="C12" s="108" t="s">
        <v>100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101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102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103</v>
      </c>
      <c r="C18" s="108" t="s">
        <v>104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105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106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107</v>
      </c>
      <c r="C24" s="108" t="s">
        <v>108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109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110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111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112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113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114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39</cp:revision>
  <dcterms:created xsi:type="dcterms:W3CDTF">2025-03-25T12:56:59Z</dcterms:created>
  <dcterms:modified xsi:type="dcterms:W3CDTF">2026-05-05T17:26:23Z</dcterms:modified>
</cp:coreProperties>
</file>