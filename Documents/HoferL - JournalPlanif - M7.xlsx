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2.xml" ContentType="application/vnd.ms-office.chartcolorstyle+xml"/>
  <Override PartName="/xl/metadata.xml" ContentType="application/vnd.openxmlformats-officedocument.spreadsheetml.sheetMetadata+xml"/>
  <Override PartName="/xl/charts/chart2.xml" ContentType="application/vnd.openxmlformats-officedocument.drawingml.chart+xml"/>
  <Override PartName="/xl/charts/style2.xml" ContentType="application/vnd.ms-office.chartstyl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Journal!$B$2:$H$34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<sst xmlns="http://schemas.openxmlformats.org/spreadsheetml/2006/main" count="114" uniqueCount="114">
  <si>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</si>
  <si>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</si>
  <si>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</si>
  <si>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</si>
  <si>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</si>
  <si>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</si>
  <si>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</si>
  <si>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</si>
  <si>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</si>
  <si>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</si>
  <si>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</si>
  <si>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</si>
  <si>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</si>
  <si>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</si>
  <si>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</si>
  <si>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</si>
  <si>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</si>
  <si>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</si>
  <si>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01.05.2026</t>
  </si>
  <si>
    <t xml:space="preserve">Recherche de composants</t>
  </si>
  <si>
    <t>Tests</t>
  </si>
  <si>
    <t xml:space="preserve">Documentation des composant séléctionnés</t>
  </si>
  <si>
    <t>Prototypage</t>
  </si>
  <si>
    <t xml:space="preserve">Recherche des composant chez distributeur</t>
  </si>
  <si>
    <t>Présentation</t>
  </si>
  <si>
    <t xml:space="preserve">Création d'une liste de composant avec prix</t>
  </si>
  <si>
    <t>Somme</t>
  </si>
  <si>
    <t xml:space="preserve">Ajout des différentes librairies sur KiCad</t>
  </si>
  <si>
    <t xml:space="preserve">Création d'une librairie de composants pour le projet</t>
  </si>
  <si>
    <t xml:space="preserve">Temps restant </t>
  </si>
  <si>
    <t xml:space="preserve">Circuit d'alimentation avec schéma + liste de matériel</t>
  </si>
  <si>
    <t xml:space="preserve">Refonte de l'alimentation + norme EN 55032 Classe B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</si>
  <si>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</si>
  <si>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</si>
  <si>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</si>
  <si>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</si>
  <si>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</si>
  <si>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</si>
  <si>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</si>
  <si>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</si>
  <si>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</si>
  <si>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</si>
  <si>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</si>
  <si>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</si>
  <si>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</si>
  <si>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</si>
  <si>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</si>
  <si>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</si>
  <si>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</si>
  <si>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</si>
  <si>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</si>
  <si>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</si>
  <si>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</si>
  <si>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</si>
  <si>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</si>
  <si>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</si>
  <si>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</si>
  <si>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</si>
  <si>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 xml:space="preserve">Implémentation breadboard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</si>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</sst>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dd/mm/yyyy"/>
    <numFmt numFmtId="169" formatCode="[$-F400]h:mm:ss\ AM/PM"/>
    <numFmt numFmtId="170" formatCode="yyyy\-mm\-dd;@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1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0" numFmtId="168" xfId="0" applyNumberFormat="1" applyAlignment="1">
      <alignment horizontal="left"/>
    </xf>
    <xf fontId="0" fillId="0" borderId="0" numFmtId="0" xfId="0" applyAlignment="1">
      <alignment vertical="center" wrapText="1"/>
    </xf>
    <xf fontId="0" fillId="0" borderId="2" numFmtId="14" xfId="0" applyNumberFormat="1" applyBorder="1"/>
    <xf fontId="0" fillId="0" borderId="2" numFmtId="0" xfId="0" applyBorder="1"/>
    <xf fontId="0" fillId="0" borderId="0" numFmtId="169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70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1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2" borderId="47" numFmtId="0" xfId="0" applyFill="1" applyBorder="1"/>
    <xf fontId="0" fillId="12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1" borderId="53" numFmtId="0" xfId="0" applyFill="1" applyBorder="1"/>
    <xf fontId="0" fillId="11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2" borderId="60" numFmtId="0" xfId="0" applyFill="1" applyBorder="1"/>
    <xf fontId="0" fillId="0" borderId="60" numFmtId="0" xfId="0" applyBorder="1"/>
    <xf fontId="0" fillId="0" borderId="61" numFmtId="0" xfId="0" applyBorder="1"/>
    <xf fontId="0" fillId="11" borderId="43" numFmtId="0" xfId="0" applyFill="1" applyBorder="1"/>
    <xf fontId="0" fillId="11" borderId="41" numFmtId="0" xfId="0" applyFill="1" applyBorder="1"/>
    <xf fontId="0" fillId="2" borderId="51" numFmtId="0" xfId="0" applyFill="1" applyBorder="1" applyAlignment="1">
      <alignment horizontal="left"/>
    </xf>
    <xf fontId="0" fillId="12" borderId="46" numFmtId="0" xfId="0" applyFill="1" applyBorder="1"/>
    <xf fontId="0" fillId="11" borderId="52" numFmtId="0" xfId="0" applyFill="1" applyBorder="1"/>
    <xf fontId="0" fillId="12" borderId="59" numFmtId="0" xfId="0" applyFill="1" applyBorder="1"/>
    <xf fontId="0" fillId="13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1" borderId="68" numFmtId="0" xfId="0" applyFill="1" applyBorder="1"/>
    <xf fontId="0" fillId="11" borderId="69" numFmtId="0" xfId="0" applyFill="1" applyBorder="1"/>
    <xf fontId="0" fillId="11" borderId="70" numFmtId="0" xfId="0" applyFill="1" applyBorder="1"/>
    <xf fontId="0" fillId="11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2" borderId="74" numFmtId="0" xfId="0" applyFill="1" applyBorder="1"/>
    <xf fontId="0" fillId="0" borderId="77" numFmtId="0" xfId="0" applyBorder="1"/>
    <xf fontId="0" fillId="11" borderId="78" numFmtId="0" xfId="0" applyFill="1" applyBorder="1"/>
    <xf fontId="0" fillId="11" borderId="79" numFmtId="0" xfId="0" applyFill="1" applyBorder="1"/>
    <xf fontId="0" fillId="11" borderId="80" numFmtId="0" xfId="0" applyFill="1" applyBorder="1"/>
    <xf fontId="0" fillId="11" borderId="55" numFmtId="0" xfId="0" applyFill="1" applyBorder="1"/>
    <xf fontId="0" fillId="12" borderId="75" numFmtId="0" xfId="0" applyFill="1" applyBorder="1"/>
    <xf fontId="0" fillId="12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1" borderId="40" numFmtId="0" xfId="0" applyFill="1" applyBorder="1"/>
    <xf fontId="0" fillId="11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2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8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199440"/>
          <c:y val="0.130670"/>
          <c:w val="0.59642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Prototypage</c:v>
                </c:pt>
                <c:pt idx="7">
                  <c:v>Présentation</c:v>
                </c:pt>
              </c:strCache>
            </c:strRef>
          </c:cat>
          <c:val>
            <c:numRef>
              <c:f>Journal!$H$3:$H$10</c:f>
              <c:numCache>
                <c:formatCode>0.0" H";@</c:formatCode>
                <c:ptCount val="8"/>
                <c:pt idx="0">
                  <c:v>0</c:v>
                </c:pt>
                <c:pt idx="1">
                  <c:v>2.5</c:v>
                </c:pt>
                <c:pt idx="2">
                  <c:v>5.999999999999999</c:v>
                </c:pt>
                <c:pt idx="3">
                  <c:v>15.5</c:v>
                </c:pt>
                <c:pt idx="4">
                  <c:v>0</c:v>
                </c:pt>
                <c:pt idx="5">
                  <c:v>0</c:v>
                </c:pt>
                <c:pt idx="6">
                  <c:v>4.5</c:v>
                </c:pt>
                <c:pt idx="7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34654" y="182658"/>
      <a:ext cx="3713606" cy="315722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  <c:pt idx="3">
                  <c:v>01.05.2026</c:v>
                </c:pt>
                <c:pt idx="4">
                  <c:v>5/4/2026</c:v>
                </c:pt>
                <c:pt idx="5">
                  <c:v>5/5/2026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367744</xdr:colOff>
      <xdr:row>1</xdr:row>
      <xdr:rowOff>2549</xdr:rowOff>
    </xdr:from>
    <xdr:to>
      <xdr:col>14</xdr:col>
      <xdr:colOff>458388</xdr:colOff>
      <xdr:row>17</xdr:row>
      <xdr:rowOff>90995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34654" y="182658"/>
        <a:ext cx="3713606" cy="315722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5">
  <autoFilter ref="B2:E15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Row],[somme]]/$H$11</f>
        <v>0</v>
      </c>
      <c r="J3" s="12" t="str" cm="1">
        <f t="array" ref="J3">_xlfn._xlws.FILTER(G3:G11,H3:H11&gt;0)</f>
        <v>Plannification</v>
      </c>
      <c r="K3" s="13" cm="1">
        <f t="array" ref="K3">_xlfn._xlws.FILTER(H3:H11,H3:H11&gt;0)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Row],[somme]]/$H$11</f>
        <v>0.07575757575757576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5.9999999999999991</v>
      </c>
      <c r="I5" s="11">
        <f>types[[#This Row],[somme]]/$H$11</f>
        <v>0.1818181818181818</v>
      </c>
      <c r="J5" s="4"/>
      <c r="K5" s="13"/>
    </row>
    <row r="6">
      <c r="B6" s="5" t="s">
        <v>12</v>
      </c>
      <c r="C6" s="6">
        <v>0.083333333333333329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15.5</v>
      </c>
      <c r="I6" s="11">
        <f>types[[#This Row],[somme]]/$H$11</f>
        <v>0.46969696969696972</v>
      </c>
      <c r="J6" s="4"/>
      <c r="K6" s="13"/>
    </row>
    <row r="7">
      <c r="B7" s="5" t="s">
        <v>12</v>
      </c>
      <c r="C7" s="6">
        <v>0.083333333333333329</v>
      </c>
      <c r="D7" s="7" t="s">
        <v>14</v>
      </c>
      <c r="E7" s="8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Row],[somme]]/$H$11</f>
        <v>0</v>
      </c>
      <c r="J7" s="4"/>
      <c r="K7" s="13"/>
    </row>
    <row r="8" ht="28.5">
      <c r="B8" s="5" t="s">
        <v>18</v>
      </c>
      <c r="C8" s="6">
        <v>0.125</v>
      </c>
      <c r="D8" s="7" t="s">
        <v>14</v>
      </c>
      <c r="E8" s="8" t="s">
        <v>19</v>
      </c>
      <c r="G8" s="9" t="s">
        <v>20</v>
      </c>
      <c r="H8" s="10">
        <f>SUMIF(Journal[type de travail],types[[#This Row],[type de travail]],Journal[Temps])*24</f>
        <v>0</v>
      </c>
      <c r="I8" s="11">
        <f>types[[#This Row],[somme]]/$H$11</f>
        <v>0</v>
      </c>
      <c r="J8" s="4"/>
      <c r="K8" s="13"/>
    </row>
    <row r="9" ht="28.5">
      <c r="B9" s="5" t="s">
        <v>18</v>
      </c>
      <c r="C9" s="6">
        <v>0.125</v>
      </c>
      <c r="D9" s="7" t="s">
        <v>6</v>
      </c>
      <c r="E9" s="8" t="s">
        <v>21</v>
      </c>
      <c r="G9" s="9" t="s">
        <v>22</v>
      </c>
      <c r="H9" s="10">
        <f>SUMIF(Journal[type de travail],types[[#This Row],[type de travail]],Journal[Temps])*24</f>
        <v>9</v>
      </c>
      <c r="I9" s="11"/>
      <c r="J9" s="4"/>
      <c r="K9" s="13"/>
    </row>
    <row r="10">
      <c r="B10" s="5" t="s">
        <v>18</v>
      </c>
      <c r="C10" s="6">
        <v>0.041666666666666664</v>
      </c>
      <c r="D10" s="7" t="s">
        <v>14</v>
      </c>
      <c r="E10" s="8" t="s">
        <v>23</v>
      </c>
      <c r="G10" s="14" t="s">
        <v>24</v>
      </c>
      <c r="H10" s="15">
        <f>SUMIF(Journal[type de travail],types[[#This Row],[type de travail]],Journal[Temps])*24</f>
        <v>0</v>
      </c>
      <c r="I10" s="11">
        <f>types[[#This Row],[somme]]/$H$11</f>
        <v>0</v>
      </c>
      <c r="J10" s="4"/>
      <c r="K10" s="16"/>
    </row>
    <row r="11">
      <c r="B11" s="5" t="s">
        <v>18</v>
      </c>
      <c r="C11" s="6">
        <v>0.020833333333333332</v>
      </c>
      <c r="D11" s="7" t="s">
        <v>6</v>
      </c>
      <c r="E11" s="8" t="s">
        <v>25</v>
      </c>
      <c r="G11" s="7" t="s">
        <v>26</v>
      </c>
      <c r="H11" s="10">
        <f>SUM(H3:H10)</f>
        <v>33</v>
      </c>
      <c r="I11" s="11">
        <f>types[[#This Row],[somme]]/$H$11</f>
        <v>1</v>
      </c>
      <c r="J11" s="4"/>
      <c r="K11" s="4"/>
    </row>
    <row r="12" ht="28.5">
      <c r="B12" s="5">
        <v>46146</v>
      </c>
      <c r="C12" s="6">
        <v>0.083333333333333329</v>
      </c>
      <c r="D12" s="7" t="s">
        <v>22</v>
      </c>
      <c r="E12" s="2" t="s">
        <v>27</v>
      </c>
      <c r="H12" s="10"/>
      <c r="J12" s="4"/>
      <c r="K12" s="4"/>
    </row>
    <row r="13">
      <c r="B13" s="5">
        <v>46146</v>
      </c>
      <c r="C13" s="6">
        <v>0.10416666666666667</v>
      </c>
      <c r="D13" s="7" t="s">
        <v>22</v>
      </c>
      <c r="E13" s="8" t="s">
        <v>28</v>
      </c>
      <c r="G13" t="s">
        <v>29</v>
      </c>
      <c r="H13" s="10">
        <f>SUM(Plannification!C2:S2)-H11</f>
        <v>42</v>
      </c>
    </row>
    <row r="14" ht="42.75">
      <c r="B14" s="17">
        <v>46146</v>
      </c>
      <c r="C14" s="6">
        <v>0.0625</v>
      </c>
      <c r="D14" s="7" t="s">
        <v>22</v>
      </c>
      <c r="E14" s="8" t="s">
        <v>30</v>
      </c>
    </row>
    <row r="15" ht="28.5">
      <c r="B15" s="5">
        <v>46147</v>
      </c>
      <c r="C15" s="6">
        <v>0.125</v>
      </c>
      <c r="D15" s="7" t="s">
        <v>22</v>
      </c>
      <c r="E15" s="18" t="s">
        <v>31</v>
      </c>
    </row>
    <row r="16" ht="28.5">
      <c r="B16" s="5"/>
      <c r="C16" s="6"/>
      <c r="D16" s="7"/>
      <c r="E16" s="8"/>
    </row>
    <row r="17">
      <c r="B17" s="5"/>
      <c r="C17" s="6"/>
      <c r="D17" s="7"/>
      <c r="E17" s="8"/>
    </row>
    <row r="18" ht="28.5">
      <c r="B18" s="5"/>
      <c r="C18" s="6"/>
      <c r="D18" s="7"/>
      <c r="E18" s="8"/>
    </row>
    <row r="19">
      <c r="B19" s="5"/>
      <c r="C19" s="6"/>
      <c r="D19" s="7"/>
      <c r="E19" s="8"/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>
      <c r="B28" s="5"/>
      <c r="C28" s="6"/>
      <c r="D28" s="7"/>
      <c r="E28" s="8"/>
    </row>
    <row r="29" ht="28.5">
      <c r="B29" s="5"/>
      <c r="C29" s="6"/>
      <c r="D29" s="7"/>
      <c r="E29" s="8"/>
    </row>
    <row r="30">
      <c r="B30" s="5"/>
      <c r="C30" s="6"/>
      <c r="D30" s="7"/>
      <c r="E30" s="8"/>
    </row>
    <row r="31" ht="42.75">
      <c r="B31" s="5"/>
      <c r="C31" s="6"/>
      <c r="D31" s="7"/>
      <c r="E31" s="8"/>
    </row>
    <row r="32" ht="28.5">
      <c r="B32" s="5"/>
      <c r="C32" s="6"/>
      <c r="D32" s="7"/>
      <c r="E32" s="8"/>
    </row>
    <row r="33" ht="57">
      <c r="B33" s="5"/>
      <c r="C33" s="6"/>
      <c r="D33" s="7"/>
      <c r="E33" s="8"/>
    </row>
    <row r="34">
      <c r="B34" s="5"/>
      <c r="C34" s="6"/>
      <c r="D34" s="7"/>
      <c r="E34" s="8"/>
    </row>
    <row r="35" ht="28.5">
      <c r="B35" s="5"/>
      <c r="C35" s="6"/>
      <c r="D35" s="7"/>
      <c r="E35" s="8"/>
    </row>
    <row r="36">
      <c r="B36" s="5"/>
      <c r="C36" s="6"/>
      <c r="D36" s="7"/>
      <c r="E36" s="8"/>
    </row>
    <row r="37">
      <c r="B37" s="5"/>
      <c r="C37" s="6"/>
      <c r="D37" s="7"/>
      <c r="E37" s="8"/>
    </row>
    <row r="38" ht="28.5">
      <c r="B38" s="5"/>
      <c r="C38" s="6"/>
      <c r="D38" s="7"/>
      <c r="E38" s="8"/>
    </row>
    <row r="39" ht="57">
      <c r="B39" s="5"/>
      <c r="C39" s="6"/>
      <c r="D39" s="7"/>
      <c r="E39" s="8"/>
    </row>
    <row r="40" ht="28.5">
      <c r="B40" s="5"/>
      <c r="C40" s="6"/>
      <c r="D40" s="7"/>
      <c r="E40" s="8"/>
      <c r="H40" s="19"/>
      <c r="I40" s="20"/>
      <c r="J40" s="21"/>
    </row>
    <row r="41">
      <c r="B41" s="5"/>
      <c r="C41" s="6"/>
      <c r="D41" s="7"/>
      <c r="E41" s="8"/>
    </row>
    <row r="42" ht="42.75">
      <c r="B42" s="5"/>
      <c r="C42" s="6"/>
      <c r="D42" s="7"/>
      <c r="E42" s="8"/>
    </row>
    <row r="43" ht="42.75">
      <c r="B43" s="5"/>
      <c r="C43" s="6"/>
      <c r="D43" s="7"/>
      <c r="E43" s="8"/>
    </row>
    <row r="44" ht="28.5">
      <c r="B44" s="5"/>
      <c r="C44" s="6"/>
      <c r="D44" s="7"/>
      <c r="E44" s="8"/>
    </row>
    <row r="45" ht="57">
      <c r="B45" s="5"/>
      <c r="C45" s="6"/>
      <c r="D45" s="7"/>
      <c r="E45" s="8"/>
    </row>
    <row r="46">
      <c r="B46" s="5"/>
      <c r="C46" s="6"/>
      <c r="D46" s="7"/>
      <c r="E46" s="8"/>
    </row>
    <row r="47">
      <c r="B47" s="5"/>
      <c r="C47" s="6"/>
      <c r="D47" s="7"/>
      <c r="E47" s="8"/>
    </row>
    <row r="48" ht="42.75">
      <c r="B48" s="5"/>
      <c r="C48" s="6"/>
      <c r="D48" s="7"/>
      <c r="E48" s="8"/>
    </row>
    <row r="49" ht="28.5">
      <c r="B49" s="22"/>
      <c r="C49" s="23"/>
      <c r="D49" s="7"/>
      <c r="E49" s="8"/>
    </row>
    <row r="50" ht="42.75">
      <c r="B50" s="22"/>
      <c r="C50" s="23"/>
      <c r="D50" s="7"/>
      <c r="E50" s="8"/>
    </row>
    <row r="51" ht="57">
      <c r="B51" s="22"/>
      <c r="C51" s="23"/>
      <c r="D51" s="7"/>
      <c r="E51" s="8"/>
    </row>
    <row r="52" ht="28.5">
      <c r="B52" s="22"/>
      <c r="C52" s="23"/>
      <c r="D52" s="7"/>
      <c r="E52" s="8"/>
    </row>
    <row r="53" ht="28.5">
      <c r="B53" s="22"/>
      <c r="C53" s="23"/>
      <c r="D53" s="7"/>
      <c r="E53" s="8"/>
    </row>
    <row r="54">
      <c r="B54" s="22"/>
      <c r="C54" s="24"/>
      <c r="D54" s="7"/>
      <c r="E54" s="8"/>
    </row>
    <row r="55">
      <c r="B55" s="22"/>
      <c r="C55" s="24"/>
      <c r="D55" s="7"/>
      <c r="E55" s="8"/>
    </row>
    <row r="56">
      <c r="B56" s="22"/>
      <c r="C56" s="24"/>
      <c r="D56" s="7"/>
      <c r="E56" s="8"/>
    </row>
    <row r="57">
      <c r="B57" s="22"/>
      <c r="C57" s="24"/>
      <c r="D57" s="7"/>
      <c r="E57" s="8"/>
    </row>
    <row r="58">
      <c r="B58" s="22"/>
      <c r="C58" s="24"/>
      <c r="D58" s="7"/>
      <c r="E58" s="8"/>
    </row>
    <row r="59">
      <c r="B59" s="22"/>
      <c r="C59" s="24"/>
      <c r="D59" s="7"/>
      <c r="E59" s="8"/>
    </row>
    <row r="60">
      <c r="B60" s="22"/>
      <c r="C60" s="24"/>
      <c r="D60" s="7"/>
      <c r="E60" s="8"/>
    </row>
    <row r="61">
      <c r="B61" s="22"/>
      <c r="C61" s="24"/>
      <c r="D61" s="7"/>
      <c r="E61" s="8"/>
    </row>
    <row r="62">
      <c r="B62" s="22"/>
      <c r="C62" s="24"/>
      <c r="D62" s="7"/>
      <c r="E62" s="8"/>
    </row>
    <row r="63">
      <c r="B63" s="22"/>
      <c r="C63" s="24"/>
      <c r="D63" s="7"/>
      <c r="E63" s="8"/>
    </row>
    <row r="64">
      <c r="B64" s="22"/>
      <c r="C64" s="24"/>
      <c r="D64" s="7"/>
      <c r="E64" s="8"/>
    </row>
    <row r="65">
      <c r="B65" s="22"/>
      <c r="C65" s="24"/>
      <c r="D65" s="7"/>
      <c r="E65" s="8"/>
    </row>
    <row r="66">
      <c r="B66" s="22"/>
      <c r="C66" s="24"/>
      <c r="D66" s="7"/>
      <c r="E66" s="8"/>
    </row>
    <row r="67">
      <c r="B67" s="22"/>
      <c r="C67" s="24"/>
      <c r="D67" s="7"/>
      <c r="E67" s="8"/>
    </row>
    <row r="68">
      <c r="B68" s="22"/>
      <c r="C68" s="24"/>
      <c r="D68" s="7"/>
      <c r="E68" s="8"/>
    </row>
    <row r="69">
      <c r="B69" s="22"/>
      <c r="C69" s="24"/>
      <c r="D69" s="7"/>
      <c r="E69" s="8"/>
    </row>
    <row r="70">
      <c r="B70" s="22"/>
      <c r="C70" s="24"/>
      <c r="D70" s="7"/>
      <c r="E70" s="8"/>
    </row>
    <row r="71">
      <c r="B71" s="22"/>
      <c r="C71" s="24"/>
      <c r="D71" s="7"/>
      <c r="E71" s="8"/>
    </row>
    <row r="72">
      <c r="B72" s="22"/>
      <c r="C72" s="24"/>
      <c r="D72" s="7"/>
      <c r="E72" s="8"/>
    </row>
    <row r="73">
      <c r="B73" s="22"/>
      <c r="C73" s="24"/>
      <c r="D73" s="7"/>
      <c r="E73" s="8"/>
    </row>
    <row r="74">
      <c r="B74" s="22"/>
      <c r="C74" s="24"/>
      <c r="D74" s="7"/>
      <c r="E74" s="8"/>
    </row>
    <row r="75">
      <c r="B75" s="22"/>
      <c r="C75" s="24"/>
      <c r="D75" s="7"/>
      <c r="E75" s="8"/>
    </row>
    <row r="76">
      <c r="B76" s="7"/>
      <c r="C76" s="24"/>
      <c r="D76" s="7"/>
      <c r="E76" s="8"/>
    </row>
    <row r="77">
      <c r="B77" s="7"/>
      <c r="C77" s="24"/>
      <c r="D77" s="7"/>
      <c r="E77" s="8"/>
    </row>
    <row r="78">
      <c r="B78" s="7"/>
      <c r="C78" s="24"/>
      <c r="D78" s="7"/>
      <c r="E78" s="8"/>
    </row>
    <row r="79">
      <c r="B79" s="7"/>
      <c r="C79" s="24"/>
      <c r="D79" s="7"/>
      <c r="E79" s="8"/>
    </row>
    <row r="80">
      <c r="B80" s="7"/>
      <c r="C80" s="24"/>
      <c r="D80" s="7"/>
      <c r="E80" s="8"/>
    </row>
    <row r="81">
      <c r="B81" s="7"/>
      <c r="C81" s="24"/>
      <c r="D81" s="7"/>
      <c r="E81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3B00FC-0097-4066-89A8-00A9002F00DE}" type="list" allowBlank="1" errorStyle="stop" imeMode="noControl" operator="between" showDropDown="0" showErrorMessage="1" showInputMessage="1">
          <x14:formula1>
            <xm:f>$G$3:$G$11</xm:f>
          </x14:formula1>
          <xm:sqref>D8 D13:D56 D11 D12</xm:sqref>
        </x14:dataValidation>
        <x14:dataValidation xr:uid="{002000A1-00B3-4418-AB2E-0004000500D4}" type="list" allowBlank="1" errorStyle="stop" imeMode="noControl" operator="between" showDropDown="0" showErrorMessage="1" showInputMessage="1">
          <x14:formula1>
            <xm:f>$G$3:$G$10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5" t="str" cm="1">
        <f t="array" ref="A2:A7">_xlfn.UNIQUE(Journal[date])</f>
        <v>22.04.2026</v>
      </c>
      <c r="B2" s="26">
        <f>SUMIF(Journal[date],SommeParJours!A2,Journal[Temps])</f>
        <v>0.29166666666666669</v>
      </c>
      <c r="C2" s="26"/>
    </row>
    <row r="3">
      <c r="A3" s="25" t="str">
        <f/>
        <v>27.04.2026</v>
      </c>
      <c r="B3" s="26">
        <f>SUMIF(Journal[date],SommeParJours!A3,Journal[Temps])</f>
        <v>0.10416666666666667</v>
      </c>
      <c r="C3"/>
    </row>
    <row r="4">
      <c r="A4" s="25" t="str">
        <f/>
        <v>30.04.2026</v>
      </c>
      <c r="B4" s="26">
        <f>SUMIF(Journal[date],SommeParJours!A4,Journal[Temps])</f>
        <v>0.29166666666666663</v>
      </c>
      <c r="C4"/>
    </row>
    <row r="5">
      <c r="A5" s="25" t="str">
        <f/>
        <v>01.05.2026</v>
      </c>
      <c r="B5" s="26">
        <f>SUMIF(Journal[date],SommeParJours!A5,Journal[Temps])</f>
        <v>0.3125</v>
      </c>
      <c r="C5"/>
    </row>
    <row r="6">
      <c r="A6" s="25">
        <f/>
        <v>46146</v>
      </c>
      <c r="B6" s="26">
        <f>SUMIF(Journal[date],SommeParJours!A6,Journal[Temps])</f>
        <v>0.25</v>
      </c>
      <c r="C6"/>
    </row>
    <row r="7">
      <c r="A7" s="25">
        <f/>
        <v>46147</v>
      </c>
      <c r="B7" s="26">
        <f>SUMIF(Journal[date],SommeParJours!A7,Journal[Temps])</f>
        <v>0.125</v>
      </c>
      <c r="C7"/>
    </row>
    <row r="8">
      <c r="A8" s="25"/>
      <c r="B8" s="26">
        <f>SUMIF(Journal[date],SommeParJours!A8,Journal[Temps])</f>
        <v>0</v>
      </c>
      <c r="C8"/>
    </row>
    <row r="9">
      <c r="A9" s="25"/>
      <c r="B9" s="26">
        <f>SUMIF(Journal[date],SommeParJours!A9,Journal[Temps])</f>
        <v>0</v>
      </c>
      <c r="C9"/>
    </row>
    <row r="10">
      <c r="A10" s="25"/>
      <c r="B10" s="26">
        <f>SUMIF(Journal[date],SommeParJours!A10,Journal[Temps])</f>
        <v>0</v>
      </c>
      <c r="C10"/>
    </row>
    <row r="11">
      <c r="A11" s="25"/>
      <c r="B11" s="26">
        <f>SUMIF(Journal[date],SommeParJours!A11,Journal[Temps])</f>
        <v>0</v>
      </c>
      <c r="C11"/>
    </row>
    <row r="12">
      <c r="A12" s="25"/>
      <c r="B12" s="26">
        <f>SUMIF(Journal[date],SommeParJours!A12,Journal[Temps])</f>
        <v>0</v>
      </c>
      <c r="C12"/>
    </row>
    <row r="13">
      <c r="A13" s="25"/>
      <c r="B13" s="26">
        <f>SUMIF(Journal[date],SommeParJours!A13,Journal[Temps])</f>
        <v>0</v>
      </c>
      <c r="C13"/>
    </row>
    <row r="14">
      <c r="A14" s="25"/>
      <c r="B14" s="26">
        <f>SUMIF(Journal[date],SommeParJours!A14,Journal[Temps])</f>
        <v>0</v>
      </c>
      <c r="C14"/>
    </row>
    <row r="15">
      <c r="A15" s="25"/>
      <c r="B15" s="26">
        <f>SUMIF(Journal[date],SommeParJours!A15,Journal[Temps])</f>
        <v>0</v>
      </c>
      <c r="C15"/>
    </row>
    <row r="16">
      <c r="A16" s="25"/>
      <c r="B16" s="26">
        <f>SUMIF(Journal[date],SommeParJours!A16,Journal[Temps])</f>
        <v>0</v>
      </c>
      <c r="C16"/>
    </row>
    <row r="17">
      <c r="A17" s="25"/>
      <c r="B17" s="26">
        <f>SUMIF(Journal[date],SommeParJours!A17,Journal[Temps])</f>
        <v>0</v>
      </c>
      <c r="C17"/>
    </row>
    <row r="18">
      <c r="A18" s="25"/>
      <c r="B18" s="26">
        <f>SUMIF(Journal[date],SommeParJours!A18,Journal[Temps])</f>
        <v>0</v>
      </c>
      <c r="C18"/>
    </row>
    <row r="19">
      <c r="A19" s="25"/>
      <c r="B19" s="26">
        <f>SUMIF(Journal[date],SommeParJours!A19,Journal[Temps])</f>
        <v>0</v>
      </c>
      <c r="C19"/>
    </row>
    <row r="20">
      <c r="A20" s="25"/>
      <c r="B20" s="26">
        <f>SUMIF(Journal[date],SommeParJours!A20,Journal[Temps])</f>
        <v>0</v>
      </c>
      <c r="C20"/>
    </row>
    <row r="21">
      <c r="A21" s="25"/>
      <c r="B21" s="26">
        <f>SUMIF(Journal[date],SommeParJours!A21,Journal[Temps])</f>
        <v>0</v>
      </c>
      <c r="C21"/>
    </row>
    <row r="22">
      <c r="A22" s="25"/>
      <c r="B22" s="26">
        <f>SUMIF(Journal[date],SommeParJours!A22,Journal[Temps])</f>
        <v>0</v>
      </c>
      <c r="C22"/>
    </row>
    <row r="23">
      <c r="A23" s="25"/>
      <c r="B23" s="26">
        <f>SUMIF(Journal[date],SommeParJours!A23,Journal[Temps])</f>
        <v>0</v>
      </c>
      <c r="C23"/>
    </row>
    <row r="24">
      <c r="A24" s="25"/>
      <c r="B24" s="26">
        <f>SUMIF(Journal[date],SommeParJours!A24,Journal[Temps])</f>
        <v>0</v>
      </c>
      <c r="C24"/>
    </row>
    <row r="25">
      <c r="A25" s="25"/>
      <c r="B25" s="26">
        <f>SUMIF(Journal[date],SommeParJours!A25,Journal[Temps])</f>
        <v>0</v>
      </c>
      <c r="C25"/>
      <c r="F25" s="27"/>
    </row>
    <row r="26">
      <c r="A26" s="25"/>
      <c r="B26" s="26">
        <f>SUMIF(Journal[date],SommeParJours!A26,Journal[Temps])</f>
        <v>0</v>
      </c>
      <c r="C26" s="28">
        <f>SUMIF(Journal[date],SommeParJours!A26,Journal[Temps])</f>
        <v>0</v>
      </c>
    </row>
    <row r="27">
      <c r="A27" s="25"/>
      <c r="B27" s="26">
        <f>SUMIF(Journal[date],SommeParJours!A27,Journal[Temps])</f>
        <v>0</v>
      </c>
      <c r="C27" s="28">
        <f>SUMIF(Journal[date],SommeParJours!A27,Journal[Temps])</f>
        <v>0</v>
      </c>
    </row>
    <row r="28">
      <c r="A28" s="25"/>
      <c r="C28" s="28">
        <f>SUMIF(Journal[date],SommeParJours!A28,Journal[Temps])</f>
        <v>0</v>
      </c>
    </row>
    <row r="29">
      <c r="A29" s="25"/>
      <c r="C29" s="28">
        <f>SUMIF(Journal[date],SommeParJours!A29,Journal[Temps])</f>
        <v>0</v>
      </c>
    </row>
    <row r="30">
      <c r="A30" s="25"/>
      <c r="C30" s="28">
        <f>SUMIF(Journal[date],SommeParJours!A30,Journal[Temps])</f>
        <v>0</v>
      </c>
    </row>
    <row r="31">
      <c r="A31" s="25"/>
      <c r="C31" s="28">
        <f>SUMIF(Journal[date],SommeParJours!A31,Journal[Temps])</f>
        <v>0</v>
      </c>
    </row>
    <row r="32">
      <c r="A32" s="25"/>
      <c r="C32" s="28">
        <f>SUMIF(Journal[date],SommeParJours!A32,Journal[Temps])</f>
        <v>0</v>
      </c>
    </row>
    <row r="33">
      <c r="A33" s="25"/>
      <c r="C33" s="28">
        <f>SUMIF(Journal[date],SommeParJours!A33,Journal[Temps])</f>
        <v>0</v>
      </c>
    </row>
    <row r="34">
      <c r="A34" s="25"/>
      <c r="C34" s="28">
        <f>SUMIF(Journal[date],SommeParJours!A34,Journal[Temps])</f>
        <v>0</v>
      </c>
    </row>
    <row r="35">
      <c r="A35" s="25"/>
      <c r="C35" s="28">
        <f>SUMIF(Journal[date],SommeParJours!A35,Journal[Temps])</f>
        <v>0</v>
      </c>
    </row>
    <row r="36">
      <c r="A36" s="25"/>
      <c r="C36" s="28">
        <f>SUMIF(Journal[date],SommeParJours!A36,Journal[Temps])</f>
        <v>0</v>
      </c>
    </row>
    <row r="37">
      <c r="A37" s="25"/>
      <c r="C37" s="28">
        <f>SUMIF(Journal[date],SommeParJours!A37,Journal[Temps])</f>
        <v>0</v>
      </c>
    </row>
    <row r="38">
      <c r="A38" s="25"/>
      <c r="C38" s="28">
        <f>SUMIF(Journal[date],SommeParJours!A38,Journal[Temps])</f>
        <v>0</v>
      </c>
    </row>
    <row r="39">
      <c r="A39" s="25"/>
      <c r="C39" s="28">
        <f>SUMIF(Journal[date],SommeParJours!A39,Journal[Temps])</f>
        <v>0</v>
      </c>
    </row>
    <row r="40">
      <c r="A40" s="25"/>
      <c r="B40" s="26" t="str">
        <f t="shared" ref="B40:B103" si="0">IF(C40&gt;0,C40,"")</f>
        <v/>
      </c>
      <c r="C40" s="28">
        <f>SUMIF(Journal[date],SommeParJours!A40,Journal[Temps])</f>
        <v>0</v>
      </c>
    </row>
    <row r="41">
      <c r="A41" s="25"/>
      <c r="B41" s="26" t="str">
        <f t="shared" si="0"/>
        <v/>
      </c>
      <c r="C41" s="28">
        <f>SUMIF(Journal[date],SommeParJours!A41,Journal[Temps])</f>
        <v>0</v>
      </c>
    </row>
    <row r="42">
      <c r="A42" s="29"/>
      <c r="B42" s="26" t="str">
        <f t="shared" si="0"/>
        <v/>
      </c>
      <c r="C42" s="28">
        <f>SUMIF(Journal[date],SommeParJours!A42,Journal[Temps])</f>
        <v>0</v>
      </c>
    </row>
    <row r="43">
      <c r="A43" s="29"/>
      <c r="B43" s="26" t="str">
        <f t="shared" si="0"/>
        <v/>
      </c>
      <c r="C43" s="28">
        <f>SUMIF(Journal[date],SommeParJours!A43,Journal[Temps])</f>
        <v>0</v>
      </c>
    </row>
    <row r="44">
      <c r="A44" s="29"/>
      <c r="B44" s="26" t="str">
        <f t="shared" si="0"/>
        <v/>
      </c>
      <c r="C44" s="28">
        <f>SUMIF(Journal[date],SommeParJours!A44,Journal[Temps])</f>
        <v>0</v>
      </c>
    </row>
    <row r="45">
      <c r="A45" s="29"/>
      <c r="B45" s="26" t="str">
        <f t="shared" si="0"/>
        <v/>
      </c>
      <c r="C45" s="28">
        <f>SUMIF(Journal[date],SommeParJours!A45,Journal[Temps])</f>
        <v>0</v>
      </c>
    </row>
    <row r="46">
      <c r="A46" s="29"/>
      <c r="B46" s="26" t="str">
        <f t="shared" si="0"/>
        <v/>
      </c>
      <c r="C46" s="28">
        <f>SUMIF(Journal[date],SommeParJours!A46,Journal[Temps])</f>
        <v>0</v>
      </c>
    </row>
    <row r="47">
      <c r="A47" s="30"/>
      <c r="B47" s="26" t="str">
        <f t="shared" si="0"/>
        <v/>
      </c>
      <c r="C47" s="28">
        <f>SUMIF(Journal[date],SommeParJours!A47,Journal[Temps])</f>
        <v>0</v>
      </c>
    </row>
    <row r="48">
      <c r="A48" s="30"/>
      <c r="B48" s="26" t="str">
        <f t="shared" si="0"/>
        <v/>
      </c>
      <c r="C48" s="28">
        <f>SUMIF(Journal[date],SommeParJours!A48,Journal[Temps])</f>
        <v>0</v>
      </c>
    </row>
    <row r="49">
      <c r="A49" s="30"/>
      <c r="B49" s="26" t="str">
        <f t="shared" si="0"/>
        <v/>
      </c>
      <c r="C49" s="28">
        <f>SUMIF(Journal[date],SommeParJours!A49,Journal[Temps])</f>
        <v>0</v>
      </c>
    </row>
    <row r="50">
      <c r="A50" s="30"/>
      <c r="B50" s="26" t="str">
        <f t="shared" si="0"/>
        <v/>
      </c>
      <c r="C50" s="28">
        <f>SUMIF(Journal[date],SommeParJours!A50,Journal[Temps])</f>
        <v>0</v>
      </c>
    </row>
    <row r="51">
      <c r="A51" s="30"/>
      <c r="B51" s="26" t="str">
        <f t="shared" si="0"/>
        <v/>
      </c>
      <c r="C51" s="28">
        <f>SUMIF(Journal[date],SommeParJours!A51,Journal[Temps])</f>
        <v>0</v>
      </c>
    </row>
    <row r="52">
      <c r="A52" s="30"/>
      <c r="B52" s="26" t="str">
        <f t="shared" si="0"/>
        <v/>
      </c>
      <c r="C52" s="28">
        <f>SUMIF(Journal[date],SommeParJours!A52,Journal[Temps])</f>
        <v>0</v>
      </c>
    </row>
    <row r="53">
      <c r="A53" s="30"/>
      <c r="B53" s="26" t="str">
        <f t="shared" si="0"/>
        <v/>
      </c>
      <c r="C53" s="28">
        <f>SUMIF(Journal[date],SommeParJours!A53,Journal[Temps])</f>
        <v>0</v>
      </c>
    </row>
    <row r="54">
      <c r="A54" s="30"/>
      <c r="B54" s="26" t="str">
        <f t="shared" si="0"/>
        <v/>
      </c>
      <c r="C54" s="28">
        <f>SUMIF(Journal[date],SommeParJours!A54,Journal[Temps])</f>
        <v>0</v>
      </c>
    </row>
    <row r="55">
      <c r="A55" s="30"/>
      <c r="B55" s="26" t="str">
        <f t="shared" si="0"/>
        <v/>
      </c>
      <c r="C55" s="28">
        <f>SUMIF(Journal[date],SommeParJours!A55,Journal[Temps])</f>
        <v>0</v>
      </c>
    </row>
    <row r="56">
      <c r="A56" s="30"/>
      <c r="B56" s="26" t="str">
        <f t="shared" si="0"/>
        <v/>
      </c>
      <c r="C56" s="28">
        <f>SUMIF(Journal[date],SommeParJours!A56,Journal[Temps])</f>
        <v>0</v>
      </c>
    </row>
    <row r="57">
      <c r="A57" s="30"/>
      <c r="B57" s="26" t="str">
        <f t="shared" si="0"/>
        <v/>
      </c>
      <c r="C57" s="28">
        <f>SUMIF(Journal[date],SommeParJours!A57,Journal[Temps])</f>
        <v>0</v>
      </c>
    </row>
    <row r="58">
      <c r="A58" s="30"/>
      <c r="B58" s="26" t="str">
        <f t="shared" si="0"/>
        <v/>
      </c>
      <c r="C58" s="28">
        <f>SUMIF(Journal[date],SommeParJours!A58,Journal[Temps])</f>
        <v>0</v>
      </c>
    </row>
    <row r="59">
      <c r="A59" s="30"/>
      <c r="B59" s="26" t="str">
        <f t="shared" si="0"/>
        <v/>
      </c>
      <c r="C59" s="28">
        <f>SUMIF(Journal[date],SommeParJours!A59,Journal[Temps])</f>
        <v>0</v>
      </c>
    </row>
    <row r="60">
      <c r="A60" s="30"/>
      <c r="B60" s="26" t="str">
        <f t="shared" si="0"/>
        <v/>
      </c>
      <c r="C60" s="28">
        <f>SUMIF(Journal[date],SommeParJours!A60,Journal[Temps])</f>
        <v>0</v>
      </c>
    </row>
    <row r="61">
      <c r="A61" s="30"/>
      <c r="B61" s="26" t="str">
        <f t="shared" si="0"/>
        <v/>
      </c>
      <c r="C61" s="28">
        <f>SUMIF(Journal[date],SommeParJours!A61,Journal[Temps])</f>
        <v>0</v>
      </c>
    </row>
    <row r="62">
      <c r="A62" s="30"/>
      <c r="B62" s="26" t="str">
        <f t="shared" si="0"/>
        <v/>
      </c>
      <c r="C62" s="28">
        <f>SUMIF(Journal[date],SommeParJours!A62,Journal[Temps])</f>
        <v>0</v>
      </c>
    </row>
    <row r="63">
      <c r="A63" s="30"/>
      <c r="B63" s="26" t="str">
        <f t="shared" si="0"/>
        <v/>
      </c>
      <c r="C63" s="28">
        <f>SUMIF(Journal[date],SommeParJours!A63,Journal[Temps])</f>
        <v>0</v>
      </c>
    </row>
    <row r="64">
      <c r="A64" s="30"/>
      <c r="B64" s="26" t="str">
        <f t="shared" si="0"/>
        <v/>
      </c>
      <c r="C64" s="28">
        <f>SUMIF(Journal[date],SommeParJours!A64,Journal[Temps])</f>
        <v>0</v>
      </c>
    </row>
    <row r="65">
      <c r="A65" s="30"/>
      <c r="B65" s="26" t="str">
        <f t="shared" si="0"/>
        <v/>
      </c>
      <c r="C65" s="28">
        <f>SUMIF(Journal[date],SommeParJours!A65,Journal[Temps])</f>
        <v>0</v>
      </c>
    </row>
    <row r="66">
      <c r="A66" s="30"/>
      <c r="B66" s="26" t="str">
        <f t="shared" si="0"/>
        <v/>
      </c>
      <c r="C66" s="28">
        <f>SUMIF(Journal[date],SommeParJours!A66,Journal[Temps])</f>
        <v>0</v>
      </c>
    </row>
    <row r="67">
      <c r="A67" s="30"/>
      <c r="B67" s="26" t="str">
        <f t="shared" si="0"/>
        <v/>
      </c>
      <c r="C67" s="28">
        <f>SUMIF(Journal[date],SommeParJours!A67,Journal[Temps])</f>
        <v>0</v>
      </c>
    </row>
    <row r="68">
      <c r="A68" s="30"/>
      <c r="B68" s="26" t="str">
        <f t="shared" si="0"/>
        <v/>
      </c>
      <c r="C68" s="28">
        <f>SUMIF(Journal[date],SommeParJours!A68,Journal[Temps])</f>
        <v>0</v>
      </c>
    </row>
    <row r="69">
      <c r="A69" s="30"/>
      <c r="B69" s="26" t="str">
        <f t="shared" si="0"/>
        <v/>
      </c>
      <c r="C69" s="28">
        <f>SUMIF(Journal[date],SommeParJours!A69,Journal[Temps])</f>
        <v>0</v>
      </c>
    </row>
    <row r="70">
      <c r="A70" s="30"/>
      <c r="B70" s="26" t="str">
        <f t="shared" si="0"/>
        <v/>
      </c>
      <c r="C70" s="28">
        <f>SUMIF(Journal[date],SommeParJours!A70,Journal[Temps])</f>
        <v>0</v>
      </c>
    </row>
    <row r="71">
      <c r="A71" s="30"/>
      <c r="B71" s="26" t="str">
        <f t="shared" si="0"/>
        <v/>
      </c>
      <c r="C71" s="28">
        <f>SUMIF(Journal[date],SommeParJours!A71,Journal[Temps])</f>
        <v>0</v>
      </c>
    </row>
    <row r="72">
      <c r="A72" s="30"/>
      <c r="B72" s="26" t="str">
        <f t="shared" si="0"/>
        <v/>
      </c>
      <c r="C72" s="28">
        <f>SUMIF(Journal[date],SommeParJours!A72,Journal[Temps])</f>
        <v>0</v>
      </c>
    </row>
    <row r="73">
      <c r="A73" s="30"/>
      <c r="B73" s="26" t="str">
        <f t="shared" si="0"/>
        <v/>
      </c>
      <c r="C73" s="28">
        <f>SUMIF(Journal[date],SommeParJours!A73,Journal[Temps])</f>
        <v>0</v>
      </c>
    </row>
    <row r="74">
      <c r="A74" s="30"/>
      <c r="B74" s="26" t="str">
        <f t="shared" si="0"/>
        <v/>
      </c>
      <c r="C74" s="28">
        <f>SUMIF(Journal[date],SommeParJours!A74,Journal[Temps])</f>
        <v>0</v>
      </c>
    </row>
    <row r="75">
      <c r="A75" s="30"/>
      <c r="B75" s="26" t="str">
        <f t="shared" si="0"/>
        <v/>
      </c>
      <c r="C75" s="28">
        <f>SUMIF(Journal[date],SommeParJours!A75,Journal[Temps])</f>
        <v>0</v>
      </c>
    </row>
    <row r="76">
      <c r="A76" s="30"/>
      <c r="B76" s="26" t="str">
        <f t="shared" si="0"/>
        <v/>
      </c>
      <c r="C76" s="28">
        <f>SUMIF(Journal[date],SommeParJours!A76,Journal[Temps])</f>
        <v>0</v>
      </c>
    </row>
    <row r="77">
      <c r="A77" s="30"/>
      <c r="B77" s="26" t="str">
        <f t="shared" si="0"/>
        <v/>
      </c>
      <c r="C77" s="28">
        <f>SUMIF(Journal[date],SommeParJours!A77,Journal[Temps])</f>
        <v>0</v>
      </c>
    </row>
    <row r="78">
      <c r="A78" s="30"/>
      <c r="B78" s="26" t="str">
        <f t="shared" si="0"/>
        <v/>
      </c>
      <c r="C78" s="28">
        <f>SUMIF(Journal[date],SommeParJours!A78,Journal[Temps])</f>
        <v>0</v>
      </c>
    </row>
    <row r="79">
      <c r="A79" s="30"/>
      <c r="B79" s="26" t="str">
        <f t="shared" si="0"/>
        <v/>
      </c>
      <c r="C79" s="28">
        <f>SUMIF(Journal[date],SommeParJours!A79,Journal[Temps])</f>
        <v>0</v>
      </c>
    </row>
    <row r="80">
      <c r="A80" s="30"/>
      <c r="B80" s="26" t="str">
        <f t="shared" si="0"/>
        <v/>
      </c>
      <c r="C80" s="28">
        <f>SUMIF(Journal[date],SommeParJours!A80,Journal[Temps])</f>
        <v>0</v>
      </c>
    </row>
    <row r="81">
      <c r="A81" s="30"/>
      <c r="B81" s="26" t="str">
        <f t="shared" si="0"/>
        <v/>
      </c>
      <c r="C81" s="28">
        <f>SUMIF(Journal[date],SommeParJours!A81,Journal[Temps])</f>
        <v>0</v>
      </c>
    </row>
    <row r="82">
      <c r="A82" s="30"/>
      <c r="B82" s="26" t="str">
        <f t="shared" si="0"/>
        <v/>
      </c>
      <c r="C82" s="28">
        <f>SUMIF(Journal[date],SommeParJours!A82,Journal[Temps])</f>
        <v>0</v>
      </c>
    </row>
    <row r="83">
      <c r="A83" s="30"/>
      <c r="B83" s="26" t="str">
        <f t="shared" si="0"/>
        <v/>
      </c>
      <c r="C83" s="28">
        <f>SUMIF(Journal[date],SommeParJours!A83,Journal[Temps])</f>
        <v>0</v>
      </c>
    </row>
    <row r="84">
      <c r="A84" s="30"/>
      <c r="B84" s="26" t="str">
        <f t="shared" si="0"/>
        <v/>
      </c>
      <c r="C84" s="28">
        <f>SUMIF(Journal[date],SommeParJours!A84,Journal[Temps])</f>
        <v>0</v>
      </c>
    </row>
    <row r="85">
      <c r="A85" s="30"/>
      <c r="B85" s="26" t="str">
        <f t="shared" si="0"/>
        <v/>
      </c>
      <c r="C85" s="28">
        <f>SUMIF(Journal[date],SommeParJours!A85,Journal[Temps])</f>
        <v>0</v>
      </c>
    </row>
    <row r="86">
      <c r="A86" s="30"/>
      <c r="B86" s="26" t="str">
        <f t="shared" si="0"/>
        <v/>
      </c>
      <c r="C86" s="28">
        <f>SUMIF(Journal[date],SommeParJours!A86,Journal[Temps])</f>
        <v>0</v>
      </c>
    </row>
    <row r="87">
      <c r="A87" s="30"/>
      <c r="B87" s="26" t="str">
        <f t="shared" si="0"/>
        <v/>
      </c>
      <c r="C87" s="28">
        <f>SUMIF(Journal[date],SommeParJours!A87,Journal[Temps])</f>
        <v>0</v>
      </c>
    </row>
    <row r="88">
      <c r="A88" s="30"/>
      <c r="B88" s="26" t="str">
        <f t="shared" si="0"/>
        <v/>
      </c>
      <c r="C88" s="28">
        <f>SUMIF(Journal[date],SommeParJours!A88,Journal[Temps])</f>
        <v>0</v>
      </c>
    </row>
    <row r="89">
      <c r="A89" s="30"/>
      <c r="B89" s="26" t="str">
        <f t="shared" si="0"/>
        <v/>
      </c>
      <c r="C89" s="28">
        <f>SUMIF(Journal[date],SommeParJours!A89,Journal[Temps])</f>
        <v>0</v>
      </c>
    </row>
    <row r="90">
      <c r="A90" s="30"/>
      <c r="B90" s="26" t="str">
        <f t="shared" si="0"/>
        <v/>
      </c>
      <c r="C90" s="28">
        <f>SUMIF(Journal[date],SommeParJours!A90,Journal[Temps])</f>
        <v>0</v>
      </c>
    </row>
    <row r="91">
      <c r="A91" s="30"/>
      <c r="B91" s="26" t="str">
        <f t="shared" si="0"/>
        <v/>
      </c>
      <c r="C91" s="28">
        <f>SUMIF(Journal[date],SommeParJours!A91,Journal[Temps])</f>
        <v>0</v>
      </c>
    </row>
    <row r="92">
      <c r="A92" s="30"/>
      <c r="B92" s="26" t="str">
        <f t="shared" si="0"/>
        <v/>
      </c>
      <c r="C92" s="28">
        <f>SUMIF(Journal[date],SommeParJours!A92,Journal[Temps])</f>
        <v>0</v>
      </c>
    </row>
    <row r="93">
      <c r="A93" s="30"/>
      <c r="B93" s="26" t="str">
        <f t="shared" si="0"/>
        <v/>
      </c>
      <c r="C93" s="28">
        <f>SUMIF(Journal[date],SommeParJours!A93,Journal[Temps])</f>
        <v>0</v>
      </c>
    </row>
    <row r="94">
      <c r="A94" s="30"/>
      <c r="B94" s="26" t="str">
        <f t="shared" si="0"/>
        <v/>
      </c>
      <c r="C94" s="28">
        <f>SUMIF(Journal[date],SommeParJours!A94,Journal[Temps])</f>
        <v>0</v>
      </c>
    </row>
    <row r="95">
      <c r="A95" s="30"/>
      <c r="B95" s="26" t="str">
        <f t="shared" si="0"/>
        <v/>
      </c>
      <c r="C95" s="28">
        <f>SUMIF(Journal[date],SommeParJours!A95,Journal[Temps])</f>
        <v>0</v>
      </c>
    </row>
    <row r="96">
      <c r="A96" s="30"/>
      <c r="B96" s="26" t="str">
        <f t="shared" si="0"/>
        <v/>
      </c>
      <c r="C96" s="28">
        <f>SUMIF(Journal[date],SommeParJours!A96,Journal[Temps])</f>
        <v>0</v>
      </c>
    </row>
    <row r="97">
      <c r="A97" s="30"/>
      <c r="B97" s="26" t="str">
        <f t="shared" si="0"/>
        <v/>
      </c>
      <c r="C97" s="28">
        <f>SUMIF(Journal[date],SommeParJours!A97,Journal[Temps])</f>
        <v>0</v>
      </c>
    </row>
    <row r="98">
      <c r="A98" s="30"/>
      <c r="B98" s="26" t="str">
        <f t="shared" si="0"/>
        <v/>
      </c>
      <c r="C98" s="28">
        <f>SUMIF(Journal[date],SommeParJours!A98,Journal[Temps])</f>
        <v>0</v>
      </c>
    </row>
    <row r="99">
      <c r="A99" s="30"/>
      <c r="B99" s="26" t="str">
        <f t="shared" si="0"/>
        <v/>
      </c>
      <c r="C99" s="28">
        <f>SUMIF(Journal[date],SommeParJours!A99,Journal[Temps])</f>
        <v>0</v>
      </c>
    </row>
    <row r="100">
      <c r="A100" s="30"/>
      <c r="B100" s="26" t="str">
        <f t="shared" si="0"/>
        <v/>
      </c>
      <c r="C100" s="28">
        <f>SUMIF(Journal[date],SommeParJours!A100,Journal[Temps])</f>
        <v>0</v>
      </c>
    </row>
    <row r="101">
      <c r="A101" s="30"/>
      <c r="B101" s="26" t="str">
        <f t="shared" si="0"/>
        <v/>
      </c>
      <c r="C101" s="28">
        <f>SUMIF(Journal[date],SommeParJours!A101,Journal[Temps])</f>
        <v>0</v>
      </c>
    </row>
    <row r="102">
      <c r="A102" s="30"/>
      <c r="B102" s="26" t="str">
        <f t="shared" si="0"/>
        <v/>
      </c>
      <c r="C102" s="28">
        <f>SUMIF(Journal[date],SommeParJours!A102,Journal[Temps])</f>
        <v>0</v>
      </c>
    </row>
    <row r="103">
      <c r="A103" s="30"/>
      <c r="B103" s="26" t="str">
        <f t="shared" si="0"/>
        <v/>
      </c>
      <c r="C103" s="28">
        <f>SUMIF(Journal[date],SommeParJours!A103,Journal[Temps])</f>
        <v>0</v>
      </c>
    </row>
    <row r="104">
      <c r="A104" s="30"/>
      <c r="B104" s="26" t="str">
        <f t="shared" ref="B104:B114" si="1">IF(C104&gt;0,C104,"")</f>
        <v/>
      </c>
      <c r="C104" s="28">
        <f>SUMIF(Journal[date],SommeParJours!A104,Journal[Temps])</f>
        <v>0</v>
      </c>
    </row>
    <row r="105">
      <c r="A105" s="30"/>
      <c r="B105" s="26" t="str">
        <f t="shared" si="1"/>
        <v/>
      </c>
      <c r="C105" s="28">
        <f>SUMIF(Journal[date],SommeParJours!A105,Journal[Temps])</f>
        <v>0</v>
      </c>
    </row>
    <row r="106">
      <c r="A106" s="30"/>
      <c r="B106" s="26" t="str">
        <f t="shared" si="1"/>
        <v/>
      </c>
      <c r="C106" s="28">
        <f>SUMIF(Journal[date],SommeParJours!A106,Journal[Temps])</f>
        <v>0</v>
      </c>
    </row>
    <row r="107">
      <c r="A107" s="30"/>
      <c r="B107" s="26" t="str">
        <f t="shared" si="1"/>
        <v/>
      </c>
      <c r="C107" s="28">
        <f>SUMIF(Journal[date],SommeParJours!A107,Journal[Temps])</f>
        <v>0</v>
      </c>
    </row>
    <row r="108">
      <c r="A108" s="30"/>
      <c r="B108" s="26" t="str">
        <f t="shared" si="1"/>
        <v/>
      </c>
      <c r="C108" s="28">
        <f>SUMIF(Journal[date],SommeParJours!A108,Journal[Temps])</f>
        <v>0</v>
      </c>
    </row>
    <row r="109">
      <c r="A109" s="30"/>
      <c r="B109" s="26" t="str">
        <f t="shared" si="1"/>
        <v/>
      </c>
      <c r="C109" s="28">
        <f>SUMIF(Journal[date],SommeParJours!A109,Journal[Temps])</f>
        <v>0</v>
      </c>
    </row>
    <row r="110">
      <c r="A110" s="30"/>
      <c r="B110" s="26" t="str">
        <f t="shared" si="1"/>
        <v/>
      </c>
      <c r="C110" s="28">
        <f>SUMIF(Journal[date],SommeParJours!A110,Journal[Temps])</f>
        <v>0</v>
      </c>
    </row>
    <row r="111">
      <c r="A111" s="30"/>
      <c r="B111" s="26" t="str">
        <f t="shared" si="1"/>
        <v/>
      </c>
      <c r="C111" s="28">
        <f>SUMIF(Journal[date],SommeParJours!A111,Journal[Temps])</f>
        <v>0</v>
      </c>
    </row>
    <row r="112">
      <c r="A112" s="30"/>
      <c r="B112" s="26" t="str">
        <f t="shared" si="1"/>
        <v/>
      </c>
      <c r="C112" s="28">
        <f>SUMIF(Journal[date],SommeParJours!A112,Journal[Temps])</f>
        <v>0</v>
      </c>
    </row>
    <row r="113">
      <c r="A113" s="30"/>
      <c r="B113" s="26" t="str">
        <f t="shared" si="1"/>
        <v/>
      </c>
      <c r="C113" s="28">
        <f>SUMIF(Journal[date],SommeParJours!A113,Journal[Temps])</f>
        <v>0</v>
      </c>
    </row>
    <row r="114">
      <c r="A114" s="30"/>
      <c r="B114" s="26" t="str">
        <f t="shared" si="1"/>
        <v/>
      </c>
      <c r="C114" s="28">
        <f>SUMIF(Journal[date],SommeParJours!A114,Journal[Temps])</f>
        <v>0</v>
      </c>
    </row>
    <row r="115">
      <c r="A115" s="30"/>
      <c r="B115" s="30"/>
      <c r="C115" s="28"/>
    </row>
    <row r="116">
      <c r="A116" s="30"/>
      <c r="B116" s="30"/>
      <c r="C116" s="28"/>
    </row>
    <row r="117">
      <c r="A117" s="30"/>
      <c r="B117" s="30"/>
      <c r="C117" s="28"/>
    </row>
    <row r="118">
      <c r="A118" s="30"/>
      <c r="B118" s="30"/>
      <c r="C118" s="28"/>
    </row>
    <row r="119">
      <c r="A119" s="30"/>
      <c r="B119" s="30"/>
      <c r="C119" s="28"/>
    </row>
    <row r="120">
      <c r="A120" s="30"/>
      <c r="B120" s="30"/>
      <c r="C120" s="28"/>
    </row>
    <row r="121">
      <c r="A121" s="30"/>
      <c r="B121" s="30"/>
      <c r="C121" s="28"/>
    </row>
    <row r="122">
      <c r="A122" s="30"/>
      <c r="B122" s="30"/>
      <c r="C122" s="28"/>
    </row>
    <row r="123">
      <c r="A123" s="30"/>
      <c r="B123" s="30"/>
      <c r="C123" s="28"/>
    </row>
    <row r="124">
      <c r="A124" s="30"/>
      <c r="B124" s="30"/>
      <c r="C124" s="28"/>
    </row>
    <row r="125">
      <c r="A125" s="30"/>
      <c r="B125" s="30"/>
      <c r="C125" s="28"/>
    </row>
    <row r="126">
      <c r="A126" s="30"/>
      <c r="B126" s="30"/>
      <c r="C126" s="28"/>
    </row>
    <row r="127">
      <c r="A127" s="30"/>
      <c r="B127" s="30"/>
      <c r="C127" s="28"/>
    </row>
    <row r="128">
      <c r="A128" s="30"/>
      <c r="B128" s="30"/>
      <c r="C128" s="28"/>
    </row>
    <row r="129">
      <c r="A129" s="30"/>
      <c r="B129" s="30"/>
      <c r="C129" s="28"/>
    </row>
    <row r="130">
      <c r="A130" s="30"/>
      <c r="B130" s="30"/>
      <c r="C130" s="28"/>
    </row>
    <row r="131">
      <c r="A131" s="30"/>
      <c r="B131" s="30"/>
      <c r="C131" s="28"/>
    </row>
    <row r="132">
      <c r="A132" s="30"/>
      <c r="B132" s="30"/>
      <c r="C132" s="28"/>
    </row>
    <row r="133">
      <c r="A133" s="30"/>
      <c r="B133" s="30"/>
      <c r="C133" s="28"/>
    </row>
    <row r="134">
      <c r="A134" s="30"/>
      <c r="B134" s="30"/>
      <c r="C134" s="28"/>
    </row>
    <row r="135">
      <c r="A135" s="30"/>
      <c r="B135" s="30"/>
      <c r="C135" s="28"/>
    </row>
    <row r="136">
      <c r="A136" s="30"/>
      <c r="B136" s="30"/>
      <c r="C136" s="28"/>
    </row>
    <row r="137">
      <c r="A137" s="30"/>
      <c r="B137" s="30"/>
      <c r="C137" s="28"/>
    </row>
    <row r="138">
      <c r="A138" s="30"/>
      <c r="B138" s="30"/>
      <c r="C138" s="28"/>
    </row>
    <row r="139">
      <c r="A139" s="30"/>
      <c r="B139" s="30"/>
      <c r="C139" s="28"/>
    </row>
    <row r="140">
      <c r="A140" s="30"/>
      <c r="B140" s="30"/>
      <c r="C140" s="28"/>
    </row>
    <row r="141">
      <c r="A141" s="30"/>
      <c r="B141" s="30"/>
      <c r="C141" s="28"/>
    </row>
    <row r="142">
      <c r="A142" s="30"/>
      <c r="B142" s="30"/>
      <c r="C142" s="28"/>
    </row>
    <row r="143">
      <c r="A143" s="30"/>
      <c r="B143" s="30"/>
      <c r="C143" s="28"/>
    </row>
    <row r="144">
      <c r="A144" s="30"/>
      <c r="B144" s="30"/>
      <c r="C144" s="28"/>
    </row>
    <row r="145">
      <c r="A145" s="30"/>
      <c r="B145" s="30"/>
      <c r="C145" s="28"/>
    </row>
    <row r="146">
      <c r="A146" s="30"/>
      <c r="B146" s="30"/>
      <c r="C146" s="28"/>
    </row>
    <row r="147">
      <c r="A147" s="30"/>
      <c r="B147" s="30"/>
      <c r="C147" s="28"/>
    </row>
    <row r="148">
      <c r="A148" s="30"/>
      <c r="B148" s="30"/>
      <c r="C148" s="28"/>
    </row>
    <row r="149">
      <c r="A149" s="30"/>
      <c r="B149" s="30"/>
      <c r="C149" s="28"/>
    </row>
    <row r="150">
      <c r="A150" s="30"/>
      <c r="B150" s="30"/>
      <c r="C150" s="28"/>
    </row>
    <row r="151">
      <c r="A151" s="30"/>
      <c r="B151" s="30"/>
      <c r="C151" s="28"/>
    </row>
    <row r="152">
      <c r="A152" s="30"/>
      <c r="B152" s="30"/>
      <c r="C152" s="28"/>
    </row>
    <row r="153">
      <c r="A153" s="30"/>
      <c r="B153" s="30"/>
      <c r="C153" s="28"/>
    </row>
    <row r="154">
      <c r="A154" s="30"/>
      <c r="B154" s="30"/>
      <c r="C154" s="28"/>
    </row>
    <row r="155">
      <c r="A155" s="30"/>
      <c r="B155" s="30"/>
      <c r="C155" s="28"/>
    </row>
    <row r="156">
      <c r="A156" s="30"/>
      <c r="B156" s="30"/>
      <c r="C156" s="28"/>
    </row>
    <row r="157">
      <c r="A157" s="30"/>
      <c r="B157" s="30"/>
      <c r="C157" s="28"/>
    </row>
    <row r="158">
      <c r="A158" s="30"/>
      <c r="B158" s="30"/>
      <c r="C158" s="28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customWidth="1" min="23" max="23" width="32.421875"/>
    <col customWidth="1" min="24" max="29" width="3.44140625"/>
  </cols>
  <sheetData>
    <row r="1" s="31" customFormat="1" ht="66.599999999999994" customHeight="1">
      <c r="A1" s="32" t="s">
        <v>32</v>
      </c>
      <c r="B1" s="33" t="s">
        <v>33</v>
      </c>
      <c r="C1" s="34" t="s">
        <v>5</v>
      </c>
      <c r="D1" s="34" t="s">
        <v>9</v>
      </c>
      <c r="E1" s="34" t="s">
        <v>12</v>
      </c>
      <c r="F1" s="34" t="s">
        <v>34</v>
      </c>
      <c r="G1" s="34" t="s">
        <v>35</v>
      </c>
      <c r="H1" s="34" t="s">
        <v>36</v>
      </c>
      <c r="I1" s="35" t="s">
        <v>37</v>
      </c>
      <c r="J1" s="35" t="s">
        <v>38</v>
      </c>
      <c r="K1" s="34" t="s">
        <v>39</v>
      </c>
      <c r="L1" s="34" t="s">
        <v>40</v>
      </c>
      <c r="M1" s="34" t="s">
        <v>41</v>
      </c>
      <c r="N1" s="34" t="s">
        <v>42</v>
      </c>
      <c r="O1" s="34" t="s">
        <v>43</v>
      </c>
      <c r="P1" s="34" t="s">
        <v>44</v>
      </c>
      <c r="Q1" s="34" t="s">
        <v>45</v>
      </c>
      <c r="R1" s="34" t="s">
        <v>46</v>
      </c>
      <c r="S1" s="34" t="s">
        <v>47</v>
      </c>
      <c r="T1" s="36"/>
      <c r="U1" s="36"/>
      <c r="V1" s="36"/>
      <c r="W1" s="36"/>
      <c r="X1" s="36"/>
      <c r="Y1" s="36"/>
      <c r="Z1" s="36"/>
      <c r="AA1" s="36"/>
      <c r="AB1" s="36"/>
      <c r="AC1" s="36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</row>
    <row r="2" s="31" customFormat="1" ht="16.5" customHeight="1">
      <c r="A2" s="32" t="s">
        <v>48</v>
      </c>
      <c r="B2" s="33"/>
      <c r="C2" s="34">
        <v>7</v>
      </c>
      <c r="D2" s="34">
        <v>4</v>
      </c>
      <c r="E2" s="34">
        <v>4</v>
      </c>
      <c r="F2" s="34">
        <v>7</v>
      </c>
      <c r="G2" s="34">
        <v>5</v>
      </c>
      <c r="H2" s="34">
        <v>7</v>
      </c>
      <c r="I2" s="35">
        <v>0</v>
      </c>
      <c r="J2" s="35">
        <v>0</v>
      </c>
      <c r="K2" s="34">
        <v>5</v>
      </c>
      <c r="L2" s="34">
        <v>4</v>
      </c>
      <c r="M2" s="34">
        <v>7</v>
      </c>
      <c r="N2" s="34">
        <v>4</v>
      </c>
      <c r="O2" s="34">
        <v>5</v>
      </c>
      <c r="P2" s="34">
        <v>0</v>
      </c>
      <c r="Q2" s="34">
        <v>4</v>
      </c>
      <c r="R2" s="34">
        <v>7</v>
      </c>
      <c r="S2" s="34">
        <v>5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</row>
    <row r="3" s="31" customFormat="1" ht="16.5" customHeight="1">
      <c r="A3" s="37" t="s">
        <v>49</v>
      </c>
      <c r="B3" s="38" t="s">
        <v>50</v>
      </c>
      <c r="C3" s="39" t="str">
        <f>_xlfn.CONCAT("Conception Matérielle (",SUM(C2:G2),"h)")</f>
        <v xml:space="preserve">Conception Matérielle (27h)</v>
      </c>
      <c r="D3" s="40"/>
      <c r="E3" s="40"/>
      <c r="F3" s="40"/>
      <c r="G3" s="40"/>
      <c r="H3" s="41" t="str">
        <f>_xlfn.CONCAT("Développement Logiciel (",SUM(H2:L2),"h)")</f>
        <v xml:space="preserve">Développement Logiciel (16h)</v>
      </c>
      <c r="I3" s="40"/>
      <c r="J3" s="40"/>
      <c r="K3" s="40"/>
      <c r="L3" s="40"/>
      <c r="M3" s="40"/>
      <c r="N3" s="41" t="str">
        <f>_xlfn.CONCAT("Tests, Validation et Livrables (",SUM(C2:G2),"h)")</f>
        <v xml:space="preserve">Tests, Validation et Livrables (27h)</v>
      </c>
      <c r="O3" s="40"/>
      <c r="P3" s="40"/>
      <c r="Q3" s="40"/>
      <c r="R3" s="40"/>
      <c r="S3" s="42"/>
      <c r="T3" s="36"/>
      <c r="U3" s="36"/>
      <c r="V3" s="36"/>
      <c r="W3" s="36"/>
      <c r="X3" s="36"/>
      <c r="Y3" s="36"/>
      <c r="Z3" s="36"/>
      <c r="AA3" s="36"/>
      <c r="AB3" s="36"/>
      <c r="AC3" s="36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</row>
    <row r="4" ht="10.5" customHeight="1">
      <c r="A4" s="43" t="s">
        <v>6</v>
      </c>
      <c r="B4" s="44" t="s">
        <v>10</v>
      </c>
      <c r="C4" s="45"/>
      <c r="D4" s="45"/>
      <c r="E4" s="46"/>
      <c r="F4" s="46"/>
      <c r="G4" s="47"/>
      <c r="H4" s="48"/>
      <c r="I4" s="49"/>
      <c r="J4" s="49"/>
      <c r="K4" s="46"/>
      <c r="L4" s="46"/>
      <c r="M4" s="47"/>
      <c r="N4" s="48"/>
      <c r="O4" s="46"/>
      <c r="P4" s="46"/>
      <c r="Q4" s="46"/>
      <c r="R4" s="46"/>
      <c r="S4" s="50"/>
      <c r="V4" t="s">
        <v>51</v>
      </c>
      <c r="W4" s="7" t="s">
        <v>52</v>
      </c>
    </row>
    <row r="5" ht="10.5" customHeight="1">
      <c r="A5" s="51"/>
      <c r="B5" s="52"/>
      <c r="C5" s="53"/>
      <c r="D5" s="53"/>
      <c r="E5" s="54"/>
      <c r="F5" s="54"/>
      <c r="G5" s="55"/>
      <c r="H5" s="56"/>
      <c r="I5" s="57"/>
      <c r="J5" s="57"/>
      <c r="K5" s="54"/>
      <c r="L5" s="54"/>
      <c r="M5" s="55"/>
      <c r="N5" s="56"/>
      <c r="O5" s="54"/>
      <c r="P5" s="54"/>
      <c r="Q5" s="54"/>
      <c r="R5" s="54"/>
      <c r="S5" s="58"/>
    </row>
    <row r="6" ht="10.5" customHeight="1">
      <c r="A6" s="51"/>
      <c r="B6" s="59" t="s">
        <v>53</v>
      </c>
      <c r="C6" s="60"/>
      <c r="D6" s="61"/>
      <c r="E6" s="61"/>
      <c r="F6" s="61"/>
      <c r="G6" s="62"/>
      <c r="H6" s="63"/>
      <c r="I6" s="57"/>
      <c r="J6" s="57"/>
      <c r="K6" s="61"/>
      <c r="L6" s="61"/>
      <c r="M6" s="62"/>
      <c r="N6" s="63"/>
      <c r="O6" s="61"/>
      <c r="P6" s="61"/>
      <c r="Q6" s="61"/>
      <c r="R6" s="61"/>
      <c r="S6" s="64"/>
    </row>
    <row r="7" ht="10.5" customHeight="1">
      <c r="A7" s="51"/>
      <c r="B7" s="65"/>
      <c r="C7" s="53"/>
      <c r="D7" s="66"/>
      <c r="E7" s="66"/>
      <c r="F7" s="61"/>
      <c r="G7" s="62"/>
      <c r="H7" s="63"/>
      <c r="I7" s="57"/>
      <c r="J7" s="57"/>
      <c r="K7" s="61"/>
      <c r="L7" s="61"/>
      <c r="M7" s="62"/>
      <c r="N7" s="63"/>
      <c r="O7" s="61"/>
      <c r="P7" s="61"/>
      <c r="Q7" s="61"/>
      <c r="R7" s="61"/>
      <c r="S7" s="64"/>
    </row>
    <row r="8" ht="10.5" customHeight="1">
      <c r="A8" s="51"/>
      <c r="B8" s="67" t="s">
        <v>10</v>
      </c>
      <c r="C8" s="60"/>
      <c r="D8" s="60"/>
      <c r="E8" s="54"/>
      <c r="F8" s="54"/>
      <c r="G8" s="55"/>
      <c r="H8" s="56"/>
      <c r="I8" s="57"/>
      <c r="J8" s="57"/>
      <c r="K8" s="54"/>
      <c r="L8" s="54"/>
      <c r="M8" s="55"/>
      <c r="N8" s="56"/>
      <c r="O8" s="54"/>
      <c r="P8" s="54"/>
      <c r="Q8" s="54"/>
      <c r="R8" s="54"/>
      <c r="S8" s="58"/>
    </row>
    <row r="9" ht="10.5" customHeight="1">
      <c r="A9" s="51"/>
      <c r="B9" s="68"/>
      <c r="C9" s="54"/>
      <c r="D9" s="53"/>
      <c r="E9" s="54"/>
      <c r="F9" s="54"/>
      <c r="G9" s="55"/>
      <c r="H9" s="56"/>
      <c r="I9" s="57"/>
      <c r="J9" s="57"/>
      <c r="K9" s="54"/>
      <c r="L9" s="54"/>
      <c r="M9" s="55"/>
      <c r="N9" s="56"/>
      <c r="O9" s="54"/>
      <c r="P9" s="54"/>
      <c r="Q9" s="54"/>
      <c r="R9" s="54"/>
      <c r="S9" s="58"/>
    </row>
    <row r="10" ht="10.5" customHeight="1">
      <c r="A10" s="51"/>
      <c r="B10" s="69" t="s">
        <v>54</v>
      </c>
      <c r="C10" s="61"/>
      <c r="D10" s="60"/>
      <c r="E10" s="60"/>
      <c r="F10" s="60"/>
      <c r="G10" s="70"/>
      <c r="H10" s="71"/>
      <c r="I10" s="60"/>
      <c r="J10" s="60"/>
      <c r="K10" s="60"/>
      <c r="L10" s="60"/>
      <c r="M10" s="70"/>
      <c r="N10" s="71"/>
      <c r="O10" s="60"/>
      <c r="P10" s="60"/>
      <c r="Q10" s="60"/>
      <c r="R10" s="60"/>
      <c r="S10" s="72"/>
    </row>
    <row r="11" ht="10.5" customHeight="1">
      <c r="A11" s="73"/>
      <c r="B11" s="74"/>
      <c r="C11" s="75"/>
      <c r="D11" s="76"/>
      <c r="E11" s="76"/>
      <c r="F11" s="75"/>
      <c r="G11" s="77"/>
      <c r="H11" s="78"/>
      <c r="I11" s="79"/>
      <c r="J11" s="79"/>
      <c r="K11" s="75"/>
      <c r="L11" s="75"/>
      <c r="M11" s="77"/>
      <c r="N11" s="78"/>
      <c r="O11" s="75"/>
      <c r="P11" s="75"/>
      <c r="Q11" s="75"/>
      <c r="R11" s="75"/>
      <c r="S11" s="80"/>
    </row>
    <row r="12" ht="10.5" customHeight="1">
      <c r="A12" s="81" t="s">
        <v>55</v>
      </c>
      <c r="B12" s="82" t="s">
        <v>56</v>
      </c>
      <c r="C12" s="46"/>
      <c r="D12" s="45"/>
      <c r="E12" s="45"/>
      <c r="F12" s="46"/>
      <c r="G12" s="47"/>
      <c r="H12" s="48"/>
      <c r="I12" s="49"/>
      <c r="J12" s="49"/>
      <c r="K12" s="46"/>
      <c r="L12" s="46"/>
      <c r="M12" s="47"/>
      <c r="N12" s="48"/>
      <c r="O12" s="46"/>
      <c r="P12" s="46"/>
      <c r="Q12" s="46"/>
      <c r="R12" s="46"/>
      <c r="S12" s="50"/>
    </row>
    <row r="13" ht="10.5" customHeight="1">
      <c r="A13" s="83"/>
      <c r="B13" s="68"/>
      <c r="C13" s="54"/>
      <c r="D13" s="54"/>
      <c r="E13" s="53"/>
      <c r="F13" s="54"/>
      <c r="G13" s="55"/>
      <c r="H13" s="56"/>
      <c r="I13" s="57"/>
      <c r="J13" s="57"/>
      <c r="K13" s="54"/>
      <c r="L13" s="54"/>
      <c r="M13" s="55"/>
      <c r="N13" s="56"/>
      <c r="O13" s="54"/>
      <c r="P13" s="54"/>
      <c r="Q13" s="54"/>
      <c r="R13" s="54"/>
      <c r="S13" s="58"/>
    </row>
    <row r="14" ht="10.5" customHeight="1">
      <c r="A14" s="83"/>
      <c r="B14" s="69" t="s">
        <v>57</v>
      </c>
      <c r="C14" s="61"/>
      <c r="D14" s="60"/>
      <c r="E14" s="60"/>
      <c r="F14" s="61"/>
      <c r="G14" s="62"/>
      <c r="H14" s="63"/>
      <c r="I14" s="57"/>
      <c r="J14" s="57"/>
      <c r="K14" s="61"/>
      <c r="L14" s="61"/>
      <c r="M14" s="62"/>
      <c r="N14" s="63"/>
      <c r="O14" s="61"/>
      <c r="P14" s="61"/>
      <c r="Q14" s="61"/>
      <c r="R14" s="61"/>
      <c r="S14" s="64"/>
    </row>
    <row r="15" ht="10.5" customHeight="1">
      <c r="A15" s="83"/>
      <c r="B15" s="65"/>
      <c r="C15" s="61"/>
      <c r="D15" s="61"/>
      <c r="E15" s="53"/>
      <c r="F15" s="61"/>
      <c r="G15" s="62"/>
      <c r="H15" s="63"/>
      <c r="I15" s="57"/>
      <c r="J15" s="57"/>
      <c r="K15" s="61"/>
      <c r="L15" s="61"/>
      <c r="M15" s="62"/>
      <c r="N15" s="63"/>
      <c r="O15" s="61"/>
      <c r="P15" s="61"/>
      <c r="Q15" s="61"/>
      <c r="R15" s="61"/>
      <c r="S15" s="64"/>
    </row>
    <row r="16" ht="10.5" customHeight="1">
      <c r="A16" s="83"/>
      <c r="B16" s="67" t="s">
        <v>58</v>
      </c>
      <c r="C16" s="54"/>
      <c r="D16" s="60"/>
      <c r="E16" s="60"/>
      <c r="F16" s="54"/>
      <c r="G16" s="55"/>
      <c r="H16" s="56"/>
      <c r="I16" s="57"/>
      <c r="J16" s="57"/>
      <c r="K16" s="54"/>
      <c r="L16" s="54"/>
      <c r="M16" s="55"/>
      <c r="N16" s="56"/>
      <c r="O16" s="54"/>
      <c r="P16" s="54"/>
      <c r="Q16" s="54"/>
      <c r="R16" s="54"/>
      <c r="S16" s="58"/>
    </row>
    <row r="17" ht="10.5" customHeight="1">
      <c r="A17" s="83"/>
      <c r="B17" s="68"/>
      <c r="C17" s="54"/>
      <c r="D17" s="54"/>
      <c r="E17" s="54"/>
      <c r="F17" s="54"/>
      <c r="G17" s="55"/>
      <c r="H17" s="56"/>
      <c r="I17" s="57"/>
      <c r="J17" s="57"/>
      <c r="K17" s="54"/>
      <c r="L17" s="54"/>
      <c r="M17" s="55"/>
      <c r="N17" s="56"/>
      <c r="O17" s="54"/>
      <c r="P17" s="54"/>
      <c r="Q17" s="54"/>
      <c r="R17" s="54"/>
      <c r="S17" s="58"/>
    </row>
    <row r="18" ht="10.5" customHeight="1">
      <c r="A18" s="83"/>
      <c r="B18" s="69" t="s">
        <v>59</v>
      </c>
      <c r="C18" s="61"/>
      <c r="D18" s="61"/>
      <c r="E18" s="60"/>
      <c r="F18" s="60"/>
      <c r="G18" s="70"/>
      <c r="H18" s="63"/>
      <c r="I18" s="57"/>
      <c r="J18" s="57"/>
      <c r="K18" s="61"/>
      <c r="L18" s="61"/>
      <c r="M18" s="62"/>
      <c r="N18" s="63"/>
      <c r="O18" s="61"/>
      <c r="P18" s="61"/>
      <c r="Q18" s="61"/>
      <c r="R18" s="61"/>
      <c r="S18" s="64"/>
    </row>
    <row r="19" ht="10.5" customHeight="1">
      <c r="A19" s="84"/>
      <c r="B19" s="74"/>
      <c r="C19" s="75"/>
      <c r="D19" s="75"/>
      <c r="E19" s="75"/>
      <c r="F19" s="75"/>
      <c r="G19" s="77"/>
      <c r="H19" s="78"/>
      <c r="I19" s="79"/>
      <c r="J19" s="79"/>
      <c r="K19" s="75"/>
      <c r="L19" s="75"/>
      <c r="M19" s="77"/>
      <c r="N19" s="78"/>
      <c r="O19" s="75"/>
      <c r="P19" s="75"/>
      <c r="Q19" s="75"/>
      <c r="R19" s="75"/>
      <c r="S19" s="80"/>
    </row>
    <row r="20" ht="10.5" customHeight="1">
      <c r="A20" s="43" t="s">
        <v>60</v>
      </c>
      <c r="B20" s="82" t="s">
        <v>61</v>
      </c>
      <c r="C20" s="46"/>
      <c r="D20" s="46"/>
      <c r="E20" s="46"/>
      <c r="F20" s="46"/>
      <c r="G20" s="85"/>
      <c r="H20" s="86"/>
      <c r="I20" s="49"/>
      <c r="J20" s="49"/>
      <c r="K20" s="46"/>
      <c r="L20" s="46"/>
      <c r="M20" s="47"/>
      <c r="N20" s="48"/>
      <c r="O20" s="46"/>
      <c r="P20" s="46"/>
      <c r="Q20" s="46"/>
      <c r="R20" s="46"/>
      <c r="S20" s="50"/>
    </row>
    <row r="21" ht="10.5" customHeight="1">
      <c r="A21" s="51"/>
      <c r="B21" s="68"/>
      <c r="C21" s="54"/>
      <c r="D21" s="54"/>
      <c r="E21" s="54"/>
      <c r="F21" s="54"/>
      <c r="G21" s="55"/>
      <c r="H21" s="56"/>
      <c r="I21" s="57"/>
      <c r="J21" s="57"/>
      <c r="K21" s="54"/>
      <c r="L21" s="54"/>
      <c r="M21" s="55"/>
      <c r="N21" s="56"/>
      <c r="O21" s="54"/>
      <c r="P21" s="54"/>
      <c r="Q21" s="54"/>
      <c r="R21" s="54"/>
      <c r="S21" s="58"/>
    </row>
    <row r="22" ht="10.5" customHeight="1">
      <c r="A22" s="51"/>
      <c r="B22" s="69" t="s">
        <v>62</v>
      </c>
      <c r="C22" s="61"/>
      <c r="D22" s="61"/>
      <c r="E22" s="61"/>
      <c r="F22" s="61"/>
      <c r="G22" s="70"/>
      <c r="H22" s="71"/>
      <c r="I22" s="57"/>
      <c r="J22" s="57"/>
      <c r="K22" s="61"/>
      <c r="L22" s="61"/>
      <c r="M22" s="62"/>
      <c r="N22" s="63"/>
      <c r="O22" s="61"/>
      <c r="P22" s="61"/>
      <c r="Q22" s="61"/>
      <c r="R22" s="61"/>
      <c r="S22" s="64"/>
    </row>
    <row r="23" ht="10.5" customHeight="1">
      <c r="A23" s="51"/>
      <c r="B23" s="65"/>
      <c r="C23" s="61"/>
      <c r="D23" s="61"/>
      <c r="E23" s="61"/>
      <c r="F23" s="61"/>
      <c r="G23" s="62"/>
      <c r="H23" s="63"/>
      <c r="I23" s="57"/>
      <c r="J23" s="57"/>
      <c r="K23" s="61"/>
      <c r="L23" s="61"/>
      <c r="M23" s="62"/>
      <c r="N23" s="63"/>
      <c r="O23" s="61"/>
      <c r="P23" s="61"/>
      <c r="Q23" s="61"/>
      <c r="R23" s="61"/>
      <c r="S23" s="64"/>
    </row>
    <row r="24" ht="10.5" customHeight="1">
      <c r="A24" s="51"/>
      <c r="B24" s="67" t="s">
        <v>63</v>
      </c>
      <c r="C24" s="54"/>
      <c r="D24" s="54"/>
      <c r="E24" s="54"/>
      <c r="F24" s="54"/>
      <c r="G24" s="55"/>
      <c r="H24" s="71"/>
      <c r="I24" s="60"/>
      <c r="J24" s="57"/>
      <c r="K24" s="54"/>
      <c r="L24" s="54"/>
      <c r="M24" s="55"/>
      <c r="N24" s="56"/>
      <c r="O24" s="54"/>
      <c r="P24" s="54"/>
      <c r="Q24" s="54"/>
      <c r="R24" s="54"/>
      <c r="S24" s="58"/>
    </row>
    <row r="25" ht="10.5" customHeight="1">
      <c r="A25" s="51"/>
      <c r="B25" s="68"/>
      <c r="C25" s="54"/>
      <c r="D25" s="54"/>
      <c r="E25" s="54"/>
      <c r="F25" s="54"/>
      <c r="G25" s="55"/>
      <c r="H25" s="56"/>
      <c r="I25" s="57"/>
      <c r="J25" s="57"/>
      <c r="K25" s="54"/>
      <c r="L25" s="54"/>
      <c r="M25" s="55"/>
      <c r="N25" s="56"/>
      <c r="O25" s="54"/>
      <c r="P25" s="54"/>
      <c r="Q25" s="54"/>
      <c r="R25" s="54"/>
      <c r="S25" s="58"/>
    </row>
    <row r="26" ht="10.5" customHeight="1">
      <c r="A26" s="51"/>
      <c r="B26" s="69" t="s">
        <v>64</v>
      </c>
      <c r="C26" s="61"/>
      <c r="D26" s="61"/>
      <c r="E26" s="61"/>
      <c r="F26" s="61"/>
      <c r="G26" s="62"/>
      <c r="H26" s="71"/>
      <c r="I26" s="60"/>
      <c r="J26" s="60"/>
      <c r="K26" s="60"/>
      <c r="L26" s="61"/>
      <c r="M26" s="62"/>
      <c r="N26" s="63"/>
      <c r="O26" s="61"/>
      <c r="P26" s="61"/>
      <c r="Q26" s="61"/>
      <c r="R26" s="61"/>
      <c r="S26" s="64"/>
    </row>
    <row r="27" ht="10.5" customHeight="1">
      <c r="A27" s="51"/>
      <c r="B27" s="65"/>
      <c r="C27" s="61"/>
      <c r="D27" s="61"/>
      <c r="E27" s="61"/>
      <c r="F27" s="61"/>
      <c r="G27" s="62"/>
      <c r="H27" s="63"/>
      <c r="I27" s="57"/>
      <c r="J27" s="57"/>
      <c r="K27" s="61"/>
      <c r="L27" s="61"/>
      <c r="M27" s="62"/>
      <c r="N27" s="63"/>
      <c r="O27" s="61"/>
      <c r="P27" s="61"/>
      <c r="Q27" s="61"/>
      <c r="R27" s="61"/>
      <c r="S27" s="64"/>
    </row>
    <row r="28" ht="10.5" customHeight="1">
      <c r="A28" s="51"/>
      <c r="B28" s="67" t="s">
        <v>65</v>
      </c>
      <c r="C28" s="54"/>
      <c r="D28" s="54"/>
      <c r="E28" s="54"/>
      <c r="F28" s="54"/>
      <c r="G28" s="55"/>
      <c r="H28" s="56"/>
      <c r="I28" s="60"/>
      <c r="J28" s="60"/>
      <c r="K28" s="60"/>
      <c r="L28" s="60"/>
      <c r="M28" s="70"/>
      <c r="N28" s="56"/>
      <c r="O28" s="54"/>
      <c r="P28" s="54"/>
      <c r="Q28" s="54"/>
      <c r="R28" s="54"/>
      <c r="S28" s="58"/>
    </row>
    <row r="29" ht="10.5" customHeight="1">
      <c r="A29" s="73"/>
      <c r="B29" s="87"/>
      <c r="C29" s="88"/>
      <c r="D29" s="88"/>
      <c r="E29" s="88"/>
      <c r="F29" s="88"/>
      <c r="G29" s="89"/>
      <c r="H29" s="90"/>
      <c r="I29" s="79"/>
      <c r="J29" s="79"/>
      <c r="K29" s="88"/>
      <c r="L29" s="88"/>
      <c r="M29" s="89"/>
      <c r="N29" s="90"/>
      <c r="O29" s="88"/>
      <c r="P29" s="88"/>
      <c r="Q29" s="88"/>
      <c r="R29" s="88"/>
      <c r="S29" s="91"/>
    </row>
    <row r="30" ht="10.5" customHeight="1">
      <c r="A30" s="92" t="s">
        <v>66</v>
      </c>
      <c r="B30" s="93" t="s">
        <v>67</v>
      </c>
      <c r="C30" s="94"/>
      <c r="D30" s="94"/>
      <c r="E30" s="94"/>
      <c r="F30" s="94"/>
      <c r="G30" s="95"/>
      <c r="H30" s="96"/>
      <c r="I30" s="49"/>
      <c r="J30" s="49"/>
      <c r="K30" s="94"/>
      <c r="L30" s="45"/>
      <c r="M30" s="85"/>
      <c r="N30" s="86"/>
      <c r="O30" s="94"/>
      <c r="P30" s="94"/>
      <c r="Q30" s="94"/>
      <c r="R30" s="94"/>
      <c r="S30" s="97"/>
    </row>
    <row r="31" ht="10.5" customHeight="1">
      <c r="A31" s="98"/>
      <c r="B31" s="65"/>
      <c r="C31" s="61"/>
      <c r="D31" s="61"/>
      <c r="E31" s="61"/>
      <c r="F31" s="61"/>
      <c r="G31" s="62"/>
      <c r="H31" s="63"/>
      <c r="I31" s="57"/>
      <c r="J31" s="57"/>
      <c r="K31" s="61"/>
      <c r="L31" s="61"/>
      <c r="M31" s="62"/>
      <c r="N31" s="63"/>
      <c r="O31" s="61"/>
      <c r="P31" s="61"/>
      <c r="Q31" s="61"/>
      <c r="R31" s="61"/>
      <c r="S31" s="64"/>
    </row>
    <row r="32" ht="10.5" customHeight="1">
      <c r="A32" s="98"/>
      <c r="B32" s="69" t="s">
        <v>68</v>
      </c>
      <c r="C32" s="54"/>
      <c r="D32" s="54"/>
      <c r="E32" s="54"/>
      <c r="F32" s="54"/>
      <c r="G32" s="55"/>
      <c r="H32" s="56"/>
      <c r="I32" s="57"/>
      <c r="J32" s="57"/>
      <c r="K32" s="54"/>
      <c r="L32" s="60"/>
      <c r="M32" s="70"/>
      <c r="N32" s="71"/>
      <c r="O32" s="54"/>
      <c r="P32" s="54"/>
      <c r="Q32" s="54"/>
      <c r="R32" s="54"/>
      <c r="S32" s="58"/>
    </row>
    <row r="33" ht="10.5" customHeight="1">
      <c r="A33" s="98"/>
      <c r="B33" s="65"/>
      <c r="C33" s="54"/>
      <c r="D33" s="54"/>
      <c r="E33" s="54"/>
      <c r="F33" s="54"/>
      <c r="G33" s="55"/>
      <c r="H33" s="56"/>
      <c r="I33" s="57"/>
      <c r="J33" s="57"/>
      <c r="K33" s="54"/>
      <c r="L33" s="54"/>
      <c r="M33" s="55"/>
      <c r="N33" s="56"/>
      <c r="O33" s="54"/>
      <c r="P33" s="54"/>
      <c r="Q33" s="54"/>
      <c r="R33" s="54"/>
      <c r="S33" s="58"/>
    </row>
    <row r="34" ht="10.5" customHeight="1">
      <c r="A34" s="98"/>
      <c r="B34" s="69" t="s">
        <v>69</v>
      </c>
      <c r="C34" s="61"/>
      <c r="D34" s="61"/>
      <c r="E34" s="61"/>
      <c r="F34" s="61"/>
      <c r="G34" s="62"/>
      <c r="H34" s="63"/>
      <c r="I34" s="57"/>
      <c r="J34" s="57"/>
      <c r="K34" s="61"/>
      <c r="L34" s="61"/>
      <c r="M34" s="70"/>
      <c r="N34" s="71"/>
      <c r="O34" s="61"/>
      <c r="P34" s="61"/>
      <c r="Q34" s="61"/>
      <c r="R34" s="61"/>
      <c r="S34" s="64"/>
    </row>
    <row r="35" ht="10.5" customHeight="1">
      <c r="A35" s="98"/>
      <c r="B35" s="65"/>
      <c r="C35" s="61"/>
      <c r="D35" s="61"/>
      <c r="E35" s="61"/>
      <c r="F35" s="61"/>
      <c r="G35" s="62"/>
      <c r="H35" s="63"/>
      <c r="I35" s="57"/>
      <c r="J35" s="57"/>
      <c r="K35" s="61"/>
      <c r="L35" s="61"/>
      <c r="M35" s="62"/>
      <c r="N35" s="63"/>
      <c r="O35" s="61"/>
      <c r="P35" s="61"/>
      <c r="Q35" s="61"/>
      <c r="R35" s="61"/>
      <c r="S35" s="64"/>
    </row>
    <row r="36" ht="10.5" customHeight="1">
      <c r="A36" s="98"/>
      <c r="B36" s="67" t="s">
        <v>70</v>
      </c>
      <c r="C36" s="54"/>
      <c r="D36" s="54"/>
      <c r="E36" s="54"/>
      <c r="F36" s="54"/>
      <c r="G36" s="55"/>
      <c r="H36" s="56"/>
      <c r="I36" s="57"/>
      <c r="J36" s="57"/>
      <c r="K36" s="54"/>
      <c r="L36" s="54"/>
      <c r="M36" s="55"/>
      <c r="N36" s="71"/>
      <c r="O36" s="60"/>
      <c r="P36" s="60"/>
      <c r="Q36" s="54"/>
      <c r="R36" s="54"/>
      <c r="S36" s="58"/>
    </row>
    <row r="37" ht="10.5" customHeight="1">
      <c r="A37" s="98"/>
      <c r="B37" s="68"/>
      <c r="C37" s="54"/>
      <c r="D37" s="54"/>
      <c r="E37" s="54"/>
      <c r="F37" s="54"/>
      <c r="G37" s="55"/>
      <c r="H37" s="56"/>
      <c r="I37" s="57"/>
      <c r="J37" s="57"/>
      <c r="K37" s="54"/>
      <c r="L37" s="54"/>
      <c r="M37" s="55"/>
      <c r="N37" s="56"/>
      <c r="O37" s="54"/>
      <c r="P37" s="54"/>
      <c r="Q37" s="54"/>
      <c r="R37" s="54"/>
      <c r="S37" s="58"/>
    </row>
    <row r="38" ht="10.5" customHeight="1">
      <c r="A38" s="98"/>
      <c r="B38" s="69" t="s">
        <v>71</v>
      </c>
      <c r="C38" s="61"/>
      <c r="D38" s="61"/>
      <c r="E38" s="61"/>
      <c r="F38" s="61"/>
      <c r="G38" s="62"/>
      <c r="H38" s="63"/>
      <c r="I38" s="57"/>
      <c r="J38" s="57"/>
      <c r="K38" s="61"/>
      <c r="L38" s="61"/>
      <c r="M38" s="62"/>
      <c r="N38" s="71"/>
      <c r="O38" s="60"/>
      <c r="P38" s="60"/>
      <c r="Q38" s="61"/>
      <c r="R38" s="61"/>
      <c r="S38" s="64"/>
    </row>
    <row r="39" ht="10.5" customHeight="1">
      <c r="A39" s="98"/>
      <c r="B39" s="65"/>
      <c r="C39" s="61"/>
      <c r="D39" s="61"/>
      <c r="E39" s="61"/>
      <c r="F39" s="61"/>
      <c r="G39" s="62"/>
      <c r="H39" s="63"/>
      <c r="I39" s="57"/>
      <c r="J39" s="57"/>
      <c r="K39" s="61"/>
      <c r="L39" s="61"/>
      <c r="M39" s="62"/>
      <c r="N39" s="63"/>
      <c r="O39" s="61"/>
      <c r="P39" s="61"/>
      <c r="Q39" s="61"/>
      <c r="R39" s="61"/>
      <c r="S39" s="64"/>
    </row>
    <row r="40" ht="10.5" customHeight="1">
      <c r="A40" s="98"/>
      <c r="B40" s="67" t="s">
        <v>72</v>
      </c>
      <c r="C40" s="54"/>
      <c r="D40" s="54"/>
      <c r="E40" s="54"/>
      <c r="F40" s="54"/>
      <c r="G40" s="55"/>
      <c r="H40" s="56"/>
      <c r="I40" s="57"/>
      <c r="J40" s="57"/>
      <c r="K40" s="54"/>
      <c r="L40" s="54"/>
      <c r="M40" s="55"/>
      <c r="N40" s="56"/>
      <c r="O40" s="54"/>
      <c r="P40" s="54"/>
      <c r="Q40" s="60"/>
      <c r="R40" s="60"/>
      <c r="S40" s="58"/>
    </row>
    <row r="41" ht="10.5" customHeight="1">
      <c r="A41" s="98"/>
      <c r="B41" s="68"/>
      <c r="C41" s="54"/>
      <c r="D41" s="54"/>
      <c r="E41" s="54"/>
      <c r="F41" s="54"/>
      <c r="G41" s="55"/>
      <c r="H41" s="56"/>
      <c r="I41" s="57"/>
      <c r="J41" s="57"/>
      <c r="K41" s="54"/>
      <c r="L41" s="54"/>
      <c r="M41" s="55"/>
      <c r="N41" s="56"/>
      <c r="O41" s="54"/>
      <c r="P41" s="54"/>
      <c r="Q41" s="54"/>
      <c r="R41" s="54"/>
      <c r="S41" s="58"/>
    </row>
    <row r="42" ht="10.5" customHeight="1">
      <c r="A42" s="98"/>
      <c r="B42" s="69" t="s">
        <v>73</v>
      </c>
      <c r="C42" s="61"/>
      <c r="D42" s="61"/>
      <c r="E42" s="61"/>
      <c r="F42" s="61"/>
      <c r="G42" s="62"/>
      <c r="H42" s="63"/>
      <c r="I42" s="57"/>
      <c r="J42" s="57"/>
      <c r="K42" s="61"/>
      <c r="L42" s="61"/>
      <c r="M42" s="62"/>
      <c r="N42" s="63"/>
      <c r="O42" s="61"/>
      <c r="P42" s="61"/>
      <c r="Q42" s="61"/>
      <c r="R42" s="60"/>
      <c r="S42" s="72"/>
    </row>
    <row r="43" ht="10.5" customHeight="1">
      <c r="A43" s="99"/>
      <c r="B43" s="74"/>
      <c r="C43" s="75"/>
      <c r="D43" s="75"/>
      <c r="E43" s="75"/>
      <c r="F43" s="75"/>
      <c r="G43" s="77"/>
      <c r="H43" s="78"/>
      <c r="I43" s="79"/>
      <c r="J43" s="79"/>
      <c r="K43" s="75"/>
      <c r="L43" s="75"/>
      <c r="M43" s="77"/>
      <c r="N43" s="78"/>
      <c r="O43" s="75"/>
      <c r="P43" s="75"/>
      <c r="Q43" s="75"/>
      <c r="R43" s="75"/>
      <c r="S43" s="80"/>
    </row>
    <row r="44" ht="10.5" customHeight="1">
      <c r="A44" s="43" t="s">
        <v>74</v>
      </c>
      <c r="B44" s="44" t="s">
        <v>24</v>
      </c>
      <c r="C44" s="46"/>
      <c r="D44" s="46"/>
      <c r="E44" s="46"/>
      <c r="F44" s="46"/>
      <c r="G44" s="47"/>
      <c r="H44" s="48"/>
      <c r="I44" s="49"/>
      <c r="J44" s="49"/>
      <c r="K44" s="46"/>
      <c r="L44" s="46"/>
      <c r="M44" s="47"/>
      <c r="N44" s="48"/>
      <c r="O44" s="46"/>
      <c r="P44" s="46"/>
      <c r="Q44" s="46"/>
      <c r="R44" s="46"/>
      <c r="S44" s="100"/>
    </row>
    <row r="45" ht="10.5" customHeight="1">
      <c r="A45" s="51"/>
      <c r="B45" s="52"/>
      <c r="C45" s="54"/>
      <c r="D45" s="54"/>
      <c r="E45" s="54"/>
      <c r="F45" s="54"/>
      <c r="G45" s="55"/>
      <c r="H45" s="56"/>
      <c r="I45" s="57"/>
      <c r="J45" s="57"/>
      <c r="K45" s="54"/>
      <c r="L45" s="54"/>
      <c r="M45" s="55"/>
      <c r="N45" s="56"/>
      <c r="O45" s="54"/>
      <c r="P45" s="54"/>
      <c r="Q45" s="54"/>
      <c r="R45" s="54"/>
      <c r="S45" s="58"/>
      <c r="V45" s="101" t="s">
        <v>75</v>
      </c>
      <c r="W45" s="60"/>
    </row>
    <row r="46" ht="10.5" customHeight="1">
      <c r="A46" s="51"/>
      <c r="B46" s="102" t="s">
        <v>76</v>
      </c>
      <c r="C46" s="61"/>
      <c r="D46" s="61"/>
      <c r="E46" s="61"/>
      <c r="F46" s="61"/>
      <c r="G46" s="62"/>
      <c r="H46" s="63"/>
      <c r="I46" s="57"/>
      <c r="J46" s="57"/>
      <c r="K46" s="61"/>
      <c r="L46" s="61"/>
      <c r="M46" s="62"/>
      <c r="N46" s="63"/>
      <c r="O46" s="61"/>
      <c r="P46" s="61"/>
      <c r="Q46" s="61"/>
      <c r="R46" s="61"/>
      <c r="S46" s="72"/>
      <c r="V46" s="101" t="s">
        <v>77</v>
      </c>
      <c r="W46" s="53"/>
    </row>
    <row r="47" ht="10.5" customHeight="1">
      <c r="A47" s="73"/>
      <c r="B47" s="103"/>
      <c r="C47" s="75"/>
      <c r="D47" s="75"/>
      <c r="E47" s="75"/>
      <c r="F47" s="75"/>
      <c r="G47" s="77"/>
      <c r="H47" s="78"/>
      <c r="I47" s="79"/>
      <c r="J47" s="79"/>
      <c r="K47" s="75"/>
      <c r="L47" s="75"/>
      <c r="M47" s="77"/>
      <c r="N47" s="78"/>
      <c r="O47" s="75"/>
      <c r="P47" s="75"/>
      <c r="Q47" s="75"/>
      <c r="R47" s="75"/>
      <c r="S47" s="80"/>
      <c r="V47" s="101" t="s">
        <v>78</v>
      </c>
      <c r="W47" s="66"/>
    </row>
    <row r="54" ht="14.25">
      <c r="V54" s="104">
        <v>46185</v>
      </c>
      <c r="W54" t="s">
        <v>79</v>
      </c>
    </row>
    <row r="55" ht="14.25">
      <c r="V55">
        <v>17</v>
      </c>
      <c r="W55" t="s">
        <v>80</v>
      </c>
    </row>
    <row r="56" ht="14.25">
      <c r="V56">
        <v>18</v>
      </c>
      <c r="W56" t="s">
        <v>81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5"/>
    </row>
    <row r="2" ht="56.399999999999999" customHeight="1">
      <c r="B2" s="106" t="s">
        <v>32</v>
      </c>
      <c r="C2" s="107" t="s">
        <v>33</v>
      </c>
      <c r="D2" s="108" t="s">
        <v>82</v>
      </c>
      <c r="E2" s="109" t="s">
        <v>83</v>
      </c>
      <c r="F2" s="110" t="s">
        <v>84</v>
      </c>
      <c r="G2" s="110"/>
      <c r="H2" s="110"/>
      <c r="I2" s="109"/>
      <c r="J2" s="110" t="s">
        <v>85</v>
      </c>
      <c r="K2" s="110"/>
      <c r="L2" s="110"/>
      <c r="M2" s="109"/>
      <c r="N2" s="110" t="s">
        <v>86</v>
      </c>
      <c r="O2" s="110"/>
      <c r="P2" s="110"/>
      <c r="Q2" s="109"/>
      <c r="R2" s="110" t="s">
        <v>87</v>
      </c>
      <c r="S2" s="111"/>
      <c r="AD2" s="29"/>
    </row>
    <row r="3">
      <c r="B3" s="112"/>
      <c r="C3" s="113"/>
      <c r="D3" s="114" t="s">
        <v>49</v>
      </c>
      <c r="E3" s="115">
        <v>4</v>
      </c>
      <c r="F3" s="116">
        <v>1</v>
      </c>
      <c r="G3" s="117">
        <v>2</v>
      </c>
      <c r="H3" s="117">
        <v>3</v>
      </c>
      <c r="I3" s="115">
        <v>4</v>
      </c>
      <c r="J3" s="116">
        <v>1</v>
      </c>
      <c r="K3" s="117">
        <v>2</v>
      </c>
      <c r="L3" s="117">
        <v>3</v>
      </c>
      <c r="M3" s="115">
        <v>4</v>
      </c>
      <c r="N3" s="116">
        <v>1</v>
      </c>
      <c r="O3" s="117">
        <v>2</v>
      </c>
      <c r="P3" s="117">
        <v>3</v>
      </c>
      <c r="Q3" s="115">
        <v>4</v>
      </c>
      <c r="R3" s="116">
        <v>1</v>
      </c>
      <c r="S3" s="118">
        <v>2</v>
      </c>
      <c r="U3" t="s">
        <v>88</v>
      </c>
    </row>
    <row r="4" ht="12" customHeight="1">
      <c r="B4" s="119" t="s">
        <v>89</v>
      </c>
      <c r="C4" s="107" t="s">
        <v>90</v>
      </c>
      <c r="D4" s="120"/>
      <c r="E4" s="121"/>
      <c r="F4" s="122"/>
      <c r="G4" s="123"/>
      <c r="H4" s="123"/>
      <c r="I4" s="121"/>
      <c r="J4" s="124"/>
      <c r="K4" s="123"/>
      <c r="L4" s="123"/>
      <c r="M4" s="121"/>
      <c r="N4" s="124"/>
      <c r="O4" s="123"/>
      <c r="P4" s="123"/>
      <c r="Q4" s="121"/>
      <c r="R4" s="124"/>
      <c r="S4" s="125"/>
      <c r="U4" t="s">
        <v>91</v>
      </c>
    </row>
    <row r="5" ht="12" customHeight="1">
      <c r="B5" s="119"/>
      <c r="C5" s="126"/>
      <c r="D5" s="127"/>
      <c r="E5" s="128"/>
      <c r="F5" s="129"/>
      <c r="G5" s="130"/>
      <c r="H5" s="131"/>
      <c r="I5" s="128"/>
      <c r="J5" s="132"/>
      <c r="K5" s="131"/>
      <c r="L5" s="131"/>
      <c r="M5" s="128"/>
      <c r="N5" s="132"/>
      <c r="O5" s="131"/>
      <c r="P5" s="131"/>
      <c r="Q5" s="128"/>
      <c r="R5" s="132"/>
      <c r="S5" s="133"/>
    </row>
    <row r="6" ht="12" customHeight="1">
      <c r="B6" s="119"/>
      <c r="C6" s="134" t="s">
        <v>92</v>
      </c>
      <c r="D6" s="135"/>
      <c r="E6" s="136"/>
      <c r="F6" s="137"/>
      <c r="G6" s="138"/>
      <c r="H6" s="139"/>
      <c r="I6" s="136"/>
      <c r="J6" s="140"/>
      <c r="K6" s="139"/>
      <c r="L6" s="139"/>
      <c r="M6" s="136"/>
      <c r="N6" s="140"/>
      <c r="O6" s="139"/>
      <c r="P6" s="139"/>
      <c r="Q6" s="136"/>
      <c r="R6" s="140"/>
      <c r="S6" s="141"/>
      <c r="U6" s="142" t="s">
        <v>93</v>
      </c>
      <c r="V6" s="142"/>
    </row>
    <row r="7" ht="12" customHeight="1">
      <c r="B7" s="119"/>
      <c r="C7" s="126"/>
      <c r="D7" s="127"/>
      <c r="E7" s="128"/>
      <c r="F7" s="132"/>
      <c r="G7" s="130"/>
      <c r="H7" s="130"/>
      <c r="I7" s="128"/>
      <c r="J7" s="132"/>
      <c r="K7" s="131"/>
      <c r="L7" s="131"/>
      <c r="M7" s="128"/>
      <c r="N7" s="132"/>
      <c r="O7" s="131"/>
      <c r="P7" s="131"/>
      <c r="Q7" s="128"/>
      <c r="R7" s="132"/>
      <c r="S7" s="133"/>
      <c r="U7" t="s">
        <v>94</v>
      </c>
    </row>
    <row r="8" ht="12" customHeight="1">
      <c r="B8" s="119"/>
      <c r="C8" s="134" t="s">
        <v>95</v>
      </c>
      <c r="D8" s="135"/>
      <c r="E8" s="136"/>
      <c r="F8" s="137"/>
      <c r="G8" s="139"/>
      <c r="H8" s="139"/>
      <c r="I8" s="136"/>
      <c r="J8" s="140"/>
      <c r="K8" s="139"/>
      <c r="L8" s="139"/>
      <c r="M8" s="136"/>
      <c r="N8" s="140"/>
      <c r="O8" s="139"/>
      <c r="P8" s="139"/>
      <c r="Q8" s="136"/>
      <c r="R8" s="140"/>
      <c r="S8" s="141"/>
      <c r="U8" t="s">
        <v>96</v>
      </c>
    </row>
    <row r="9" ht="12" customHeight="1">
      <c r="B9" s="119"/>
      <c r="C9" s="126"/>
      <c r="D9" s="127"/>
      <c r="E9" s="128"/>
      <c r="F9" s="132"/>
      <c r="G9" s="130"/>
      <c r="H9" s="131"/>
      <c r="I9" s="128"/>
      <c r="J9" s="132"/>
      <c r="K9" s="131"/>
      <c r="L9" s="131"/>
      <c r="M9" s="128"/>
      <c r="N9" s="132"/>
      <c r="O9" s="131"/>
      <c r="P9" s="131"/>
      <c r="Q9" s="128"/>
      <c r="R9" s="132"/>
      <c r="S9" s="133"/>
    </row>
    <row r="10" ht="12" customHeight="1">
      <c r="B10" s="119"/>
      <c r="C10" s="134" t="s">
        <v>97</v>
      </c>
      <c r="D10" s="135"/>
      <c r="E10" s="136"/>
      <c r="F10" s="140"/>
      <c r="G10" s="138"/>
      <c r="H10" s="138"/>
      <c r="I10" s="136"/>
      <c r="J10" s="140"/>
      <c r="K10" s="139"/>
      <c r="L10" s="139"/>
      <c r="M10" s="136"/>
      <c r="N10" s="140"/>
      <c r="O10" s="139"/>
      <c r="P10" s="139"/>
      <c r="Q10" s="136"/>
      <c r="R10" s="140"/>
      <c r="S10" s="141"/>
    </row>
    <row r="11" ht="12" customHeight="1">
      <c r="B11" s="143"/>
      <c r="C11" s="144"/>
      <c r="D11" s="145"/>
      <c r="E11" s="146"/>
      <c r="F11" s="147"/>
      <c r="G11" s="148"/>
      <c r="H11" s="148"/>
      <c r="I11" s="146"/>
      <c r="J11" s="147"/>
      <c r="K11" s="149"/>
      <c r="L11" s="149"/>
      <c r="M11" s="146"/>
      <c r="N11" s="147"/>
      <c r="O11" s="149"/>
      <c r="P11" s="149"/>
      <c r="Q11" s="146"/>
      <c r="R11" s="147"/>
      <c r="S11" s="150"/>
    </row>
    <row r="12" ht="12" customHeight="1">
      <c r="B12" s="106" t="s">
        <v>98</v>
      </c>
      <c r="C12" s="107" t="s">
        <v>99</v>
      </c>
      <c r="D12" s="120"/>
      <c r="E12" s="121"/>
      <c r="F12" s="124"/>
      <c r="G12" s="123"/>
      <c r="H12" s="151"/>
      <c r="I12" s="152"/>
      <c r="J12" s="124"/>
      <c r="K12" s="123"/>
      <c r="L12" s="123"/>
      <c r="M12" s="121"/>
      <c r="N12" s="124"/>
      <c r="O12" s="123"/>
      <c r="P12" s="123"/>
      <c r="Q12" s="121"/>
      <c r="R12" s="124"/>
      <c r="S12" s="125"/>
    </row>
    <row r="13" ht="12" customHeight="1">
      <c r="B13" s="119"/>
      <c r="C13" s="126"/>
      <c r="D13" s="127"/>
      <c r="E13" s="128"/>
      <c r="F13" s="132"/>
      <c r="G13" s="131"/>
      <c r="H13" s="131"/>
      <c r="I13" s="128"/>
      <c r="J13" s="129"/>
      <c r="K13" s="131"/>
      <c r="L13" s="131"/>
      <c r="M13" s="128"/>
      <c r="N13" s="132"/>
      <c r="O13" s="131"/>
      <c r="P13" s="131"/>
      <c r="Q13" s="128"/>
      <c r="R13" s="132"/>
      <c r="S13" s="133"/>
    </row>
    <row r="14" ht="12" customHeight="1">
      <c r="B14" s="119"/>
      <c r="C14" s="134" t="s">
        <v>100</v>
      </c>
      <c r="D14" s="153"/>
      <c r="E14" s="136"/>
      <c r="F14" s="140"/>
      <c r="G14" s="139"/>
      <c r="H14" s="138"/>
      <c r="I14" s="136"/>
      <c r="J14" s="140"/>
      <c r="K14" s="139"/>
      <c r="L14" s="139"/>
      <c r="M14" s="136"/>
      <c r="N14" s="140"/>
      <c r="O14" s="139"/>
      <c r="P14" s="139"/>
      <c r="Q14" s="136"/>
      <c r="R14" s="140"/>
      <c r="S14" s="141"/>
    </row>
    <row r="15" ht="12" customHeight="1">
      <c r="B15" s="119"/>
      <c r="C15" s="126"/>
      <c r="D15" s="127"/>
      <c r="E15" s="128"/>
      <c r="F15" s="132"/>
      <c r="G15" s="131"/>
      <c r="H15" s="131"/>
      <c r="I15" s="154"/>
      <c r="J15" s="129"/>
      <c r="K15" s="131"/>
      <c r="L15" s="131"/>
      <c r="M15" s="128"/>
      <c r="N15" s="132"/>
      <c r="O15" s="131"/>
      <c r="P15" s="131"/>
      <c r="Q15" s="128"/>
      <c r="R15" s="132"/>
      <c r="S15" s="133"/>
    </row>
    <row r="16" ht="12" customHeight="1">
      <c r="B16" s="119"/>
      <c r="C16" s="134" t="s">
        <v>101</v>
      </c>
      <c r="D16" s="135"/>
      <c r="E16" s="136"/>
      <c r="F16" s="140"/>
      <c r="G16" s="139"/>
      <c r="H16" s="138"/>
      <c r="I16" s="155"/>
      <c r="J16" s="140"/>
      <c r="K16" s="139"/>
      <c r="L16" s="139"/>
      <c r="M16" s="136"/>
      <c r="N16" s="140"/>
      <c r="O16" s="139"/>
      <c r="P16" s="139"/>
      <c r="Q16" s="136"/>
      <c r="R16" s="140"/>
      <c r="S16" s="141"/>
    </row>
    <row r="17" ht="12" customHeight="1">
      <c r="B17" s="143"/>
      <c r="C17" s="144"/>
      <c r="D17" s="145"/>
      <c r="E17" s="146"/>
      <c r="F17" s="147"/>
      <c r="G17" s="149"/>
      <c r="H17" s="149"/>
      <c r="I17" s="146"/>
      <c r="J17" s="156"/>
      <c r="K17" s="148"/>
      <c r="L17" s="149"/>
      <c r="M17" s="146"/>
      <c r="N17" s="147"/>
      <c r="O17" s="149"/>
      <c r="P17" s="149"/>
      <c r="Q17" s="146"/>
      <c r="R17" s="147"/>
      <c r="S17" s="150"/>
    </row>
    <row r="18" ht="12" customHeight="1">
      <c r="B18" s="108" t="s">
        <v>102</v>
      </c>
      <c r="C18" s="107" t="s">
        <v>103</v>
      </c>
      <c r="D18" s="120"/>
      <c r="E18" s="121"/>
      <c r="F18" s="124"/>
      <c r="G18" s="123"/>
      <c r="H18" s="123"/>
      <c r="I18" s="152"/>
      <c r="J18" s="124"/>
      <c r="K18" s="123"/>
      <c r="L18" s="123"/>
      <c r="M18" s="121"/>
      <c r="N18" s="124"/>
      <c r="O18" s="123"/>
      <c r="P18" s="123"/>
      <c r="Q18" s="121"/>
      <c r="R18" s="124"/>
      <c r="S18" s="125"/>
    </row>
    <row r="19" ht="12" customHeight="1">
      <c r="B19" s="119"/>
      <c r="C19" s="126"/>
      <c r="D19" s="127"/>
      <c r="E19" s="128"/>
      <c r="F19" s="132"/>
      <c r="G19" s="130"/>
      <c r="H19" s="131"/>
      <c r="I19" s="128"/>
      <c r="J19" s="132"/>
      <c r="K19" s="131"/>
      <c r="L19" s="131"/>
      <c r="M19" s="128"/>
      <c r="N19" s="132"/>
      <c r="O19" s="131"/>
      <c r="P19" s="131"/>
      <c r="Q19" s="128"/>
      <c r="R19" s="132"/>
      <c r="S19" s="133"/>
    </row>
    <row r="20" ht="12" customHeight="1">
      <c r="B20" s="119"/>
      <c r="C20" s="134" t="s">
        <v>104</v>
      </c>
      <c r="D20" s="135"/>
      <c r="E20" s="136"/>
      <c r="F20" s="140"/>
      <c r="G20" s="139"/>
      <c r="H20" s="139"/>
      <c r="I20" s="155"/>
      <c r="J20" s="137"/>
      <c r="K20" s="138"/>
      <c r="L20" s="138"/>
      <c r="M20" s="136"/>
      <c r="N20" s="140"/>
      <c r="O20" s="139"/>
      <c r="P20" s="139"/>
      <c r="Q20" s="136"/>
      <c r="R20" s="140"/>
      <c r="S20" s="141"/>
    </row>
    <row r="21" ht="12" customHeight="1">
      <c r="B21" s="119"/>
      <c r="C21" s="126"/>
      <c r="D21" s="127"/>
      <c r="E21" s="128"/>
      <c r="F21" s="132"/>
      <c r="G21" s="131"/>
      <c r="H21" s="131"/>
      <c r="I21" s="128"/>
      <c r="J21" s="132"/>
      <c r="K21" s="131"/>
      <c r="L21" s="131"/>
      <c r="M21" s="128"/>
      <c r="N21" s="157"/>
      <c r="O21" s="131"/>
      <c r="P21" s="131"/>
      <c r="Q21" s="128"/>
      <c r="R21" s="132"/>
      <c r="S21" s="133"/>
    </row>
    <row r="22" ht="12" customHeight="1">
      <c r="B22" s="119"/>
      <c r="C22" s="134" t="s">
        <v>105</v>
      </c>
      <c r="D22" s="135"/>
      <c r="E22" s="136"/>
      <c r="F22" s="140"/>
      <c r="G22" s="139"/>
      <c r="H22" s="139"/>
      <c r="I22" s="136"/>
      <c r="J22" s="140"/>
      <c r="K22" s="138"/>
      <c r="L22" s="138"/>
      <c r="M22" s="136"/>
      <c r="N22" s="140"/>
      <c r="O22" s="139"/>
      <c r="P22" s="139"/>
      <c r="Q22" s="136"/>
      <c r="R22" s="140"/>
      <c r="S22" s="141"/>
    </row>
    <row r="23" ht="12" customHeight="1">
      <c r="B23" s="143"/>
      <c r="C23" s="144"/>
      <c r="D23" s="145"/>
      <c r="E23" s="146"/>
      <c r="F23" s="147"/>
      <c r="G23" s="149"/>
      <c r="H23" s="149"/>
      <c r="I23" s="146"/>
      <c r="J23" s="147"/>
      <c r="K23" s="149"/>
      <c r="L23" s="149"/>
      <c r="M23" s="146"/>
      <c r="N23" s="147"/>
      <c r="O23" s="149"/>
      <c r="P23" s="149"/>
      <c r="Q23" s="146"/>
      <c r="R23" s="147"/>
      <c r="S23" s="150"/>
    </row>
    <row r="24" ht="12" customHeight="1">
      <c r="B24" s="108" t="s">
        <v>106</v>
      </c>
      <c r="C24" s="107" t="s">
        <v>107</v>
      </c>
      <c r="D24" s="120"/>
      <c r="E24" s="121"/>
      <c r="F24" s="124"/>
      <c r="G24" s="123"/>
      <c r="H24" s="123"/>
      <c r="I24" s="121"/>
      <c r="J24" s="124"/>
      <c r="K24" s="123"/>
      <c r="L24" s="123"/>
      <c r="M24" s="152"/>
      <c r="N24" s="122"/>
      <c r="O24" s="151"/>
      <c r="P24" s="151"/>
      <c r="Q24" s="121"/>
      <c r="R24" s="124"/>
      <c r="S24" s="125"/>
    </row>
    <row r="25" ht="12" customHeight="1">
      <c r="B25" s="119"/>
      <c r="C25" s="126"/>
      <c r="D25" s="127"/>
      <c r="E25" s="128"/>
      <c r="F25" s="132"/>
      <c r="G25" s="131"/>
      <c r="H25" s="131"/>
      <c r="I25" s="128"/>
      <c r="J25" s="132"/>
      <c r="K25" s="131"/>
      <c r="L25" s="131"/>
      <c r="M25" s="128"/>
      <c r="N25" s="132"/>
      <c r="O25" s="131"/>
      <c r="P25" s="131"/>
      <c r="Q25" s="128"/>
      <c r="R25" s="132"/>
      <c r="S25" s="133"/>
    </row>
    <row r="26" ht="12" customHeight="1">
      <c r="B26" s="119"/>
      <c r="C26" s="134" t="s">
        <v>108</v>
      </c>
      <c r="D26" s="135"/>
      <c r="E26" s="136"/>
      <c r="F26" s="140"/>
      <c r="G26" s="139"/>
      <c r="H26" s="139"/>
      <c r="I26" s="136"/>
      <c r="J26" s="140"/>
      <c r="K26" s="139"/>
      <c r="L26" s="139"/>
      <c r="M26" s="136"/>
      <c r="N26" s="140"/>
      <c r="O26" s="138"/>
      <c r="P26" s="138"/>
      <c r="Q26" s="136"/>
      <c r="R26" s="140"/>
      <c r="S26" s="141"/>
    </row>
    <row r="27" ht="12" customHeight="1">
      <c r="B27" s="119"/>
      <c r="C27" s="126"/>
      <c r="D27" s="127"/>
      <c r="E27" s="128"/>
      <c r="F27" s="132"/>
      <c r="G27" s="131"/>
      <c r="H27" s="131"/>
      <c r="I27" s="128"/>
      <c r="J27" s="132"/>
      <c r="K27" s="131"/>
      <c r="L27" s="131"/>
      <c r="M27" s="128"/>
      <c r="N27" s="132"/>
      <c r="O27" s="131"/>
      <c r="P27" s="131"/>
      <c r="Q27" s="128"/>
      <c r="R27" s="132"/>
      <c r="S27" s="133"/>
    </row>
    <row r="28" ht="12" customHeight="1">
      <c r="B28" s="119"/>
      <c r="C28" s="134" t="s">
        <v>109</v>
      </c>
      <c r="D28" s="135"/>
      <c r="E28" s="136"/>
      <c r="F28" s="140"/>
      <c r="G28" s="139"/>
      <c r="H28" s="139"/>
      <c r="I28" s="136"/>
      <c r="J28" s="140"/>
      <c r="K28" s="139"/>
      <c r="L28" s="139"/>
      <c r="M28" s="136"/>
      <c r="N28" s="140"/>
      <c r="O28" s="139"/>
      <c r="P28" s="138"/>
      <c r="Q28" s="155"/>
      <c r="R28" s="140"/>
      <c r="S28" s="141"/>
    </row>
    <row r="29" ht="12" customHeight="1">
      <c r="B29" s="119"/>
      <c r="C29" s="113"/>
      <c r="D29" s="158"/>
      <c r="E29" s="159"/>
      <c r="F29" s="160"/>
      <c r="G29" s="161"/>
      <c r="H29" s="162"/>
      <c r="I29" s="159"/>
      <c r="J29" s="160"/>
      <c r="K29" s="161"/>
      <c r="L29" s="162"/>
      <c r="M29" s="159"/>
      <c r="N29" s="163"/>
      <c r="O29" s="162"/>
      <c r="P29" s="161"/>
      <c r="Q29" s="159"/>
      <c r="R29" s="160"/>
      <c r="S29" s="164"/>
    </row>
    <row r="30" ht="12" customHeight="1">
      <c r="B30" s="165" t="s">
        <v>6</v>
      </c>
      <c r="C30" s="166" t="s">
        <v>110</v>
      </c>
      <c r="D30" s="120"/>
      <c r="E30" s="167"/>
      <c r="F30" s="168"/>
      <c r="G30" s="168"/>
      <c r="H30" s="169"/>
      <c r="I30" s="170"/>
      <c r="J30" s="168"/>
      <c r="K30" s="168"/>
      <c r="L30" s="169"/>
      <c r="M30" s="170"/>
      <c r="N30" s="168"/>
      <c r="O30" s="169"/>
      <c r="P30" s="168"/>
      <c r="Q30" s="170"/>
      <c r="R30" s="168"/>
      <c r="S30" s="171"/>
    </row>
    <row r="31" ht="12" customHeight="1">
      <c r="B31" s="172"/>
      <c r="C31" s="173"/>
      <c r="D31" s="127"/>
      <c r="E31" s="174"/>
      <c r="F31" s="175"/>
      <c r="G31" s="175"/>
      <c r="H31" s="176"/>
      <c r="I31" s="177"/>
      <c r="J31" s="175"/>
      <c r="K31" s="178"/>
      <c r="L31" s="176"/>
      <c r="M31" s="177"/>
      <c r="N31" s="175"/>
      <c r="O31" s="176"/>
      <c r="P31" s="175"/>
      <c r="Q31" s="177"/>
      <c r="R31" s="175"/>
      <c r="S31" s="133"/>
    </row>
    <row r="32" ht="12" customHeight="1">
      <c r="B32" s="172"/>
      <c r="C32" s="173" t="s">
        <v>6</v>
      </c>
      <c r="D32" s="135"/>
      <c r="E32" s="179"/>
      <c r="F32" s="180"/>
      <c r="G32" s="180"/>
      <c r="H32" s="181"/>
      <c r="I32" s="182"/>
      <c r="J32" s="180"/>
      <c r="K32" s="180"/>
      <c r="L32" s="181"/>
      <c r="M32" s="182"/>
      <c r="N32" s="180"/>
      <c r="O32" s="181"/>
      <c r="P32" s="180"/>
      <c r="Q32" s="182"/>
      <c r="R32" s="180"/>
      <c r="S32" s="183"/>
    </row>
    <row r="33" ht="12" customHeight="1">
      <c r="B33" s="172"/>
      <c r="C33" s="173"/>
      <c r="D33" s="127"/>
      <c r="E33" s="174"/>
      <c r="F33" s="178"/>
      <c r="G33" s="175"/>
      <c r="H33" s="184"/>
      <c r="I33" s="185"/>
      <c r="J33" s="175"/>
      <c r="K33" s="178"/>
      <c r="L33" s="176"/>
      <c r="M33" s="177"/>
      <c r="N33" s="175"/>
      <c r="O33" s="176"/>
      <c r="P33" s="175"/>
      <c r="Q33" s="177"/>
      <c r="R33" s="175"/>
      <c r="S33" s="133"/>
    </row>
    <row r="34" ht="12" customHeight="1">
      <c r="B34" s="172"/>
      <c r="C34" s="126" t="s">
        <v>111</v>
      </c>
      <c r="D34" s="158"/>
      <c r="E34" s="186"/>
      <c r="F34" s="187"/>
      <c r="G34" s="187"/>
      <c r="H34" s="188"/>
      <c r="I34" s="189"/>
      <c r="J34" s="187"/>
      <c r="K34" s="187"/>
      <c r="L34" s="188"/>
      <c r="M34" s="189"/>
      <c r="N34" s="187"/>
      <c r="O34" s="188"/>
      <c r="P34" s="187"/>
      <c r="Q34" s="189"/>
      <c r="R34" s="187"/>
      <c r="S34" s="190"/>
      <c r="U34" s="191"/>
      <c r="V34" s="192" t="s">
        <v>112</v>
      </c>
    </row>
    <row r="35" ht="13.800000000000001" customHeight="1">
      <c r="B35" s="193"/>
      <c r="C35" s="194"/>
      <c r="D35" s="145"/>
      <c r="E35" s="195"/>
      <c r="F35" s="196"/>
      <c r="G35" s="196"/>
      <c r="H35" s="197"/>
      <c r="I35" s="198"/>
      <c r="J35" s="196"/>
      <c r="K35" s="196"/>
      <c r="L35" s="197"/>
      <c r="M35" s="198"/>
      <c r="N35" s="196"/>
      <c r="O35" s="197"/>
      <c r="P35" s="196"/>
      <c r="Q35" s="198"/>
      <c r="R35" s="196"/>
      <c r="S35" s="150"/>
      <c r="U35" s="199"/>
      <c r="V35" s="200" t="s">
        <v>113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38</cp:revision>
  <dcterms:created xsi:type="dcterms:W3CDTF">2025-03-25T12:56:59Z</dcterms:created>
  <dcterms:modified xsi:type="dcterms:W3CDTF">2026-05-05T14:22:31Z</dcterms:modified>
</cp:coreProperties>
</file>