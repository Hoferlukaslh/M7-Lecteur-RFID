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kas\Desktop\m7-Lecteur-RFID\Documents\"/>
    </mc:Choice>
  </mc:AlternateContent>
  <xr:revisionPtr revIDLastSave="0" documentId="13_ncr:1_{8BA0EAEC-8AD7-4342-99AC-0DE8751F885B}" xr6:coauthVersionLast="47" xr6:coauthVersionMax="47" xr10:uidLastSave="{00000000-0000-0000-0000-000000000000}"/>
  <bookViews>
    <workbookView xWindow="1812" yWindow="1812" windowWidth="23040" windowHeight="12120" xr2:uid="{00000000-000D-0000-FFFF-FFFF00000000}"/>
  </bookViews>
  <sheets>
    <sheet name="Journal" sheetId="1" r:id="rId1"/>
    <sheet name="SommeParJours" sheetId="2" r:id="rId2"/>
    <sheet name="Plannification" sheetId="3" r:id="rId3"/>
    <sheet name="PlanificationExemple" sheetId="4" state="hidden" r:id="rId4"/>
  </sheets>
  <definedNames>
    <definedName name="_xlnm.Print_Area" localSheetId="0">Journal!$B$2:$H$34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 l="1"/>
  <c r="N3" i="3"/>
  <c r="H3" i="3"/>
  <c r="C3" i="3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B27" i="2"/>
  <c r="C26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A2" i="2" a="1"/>
  <c r="B9" i="2"/>
  <c r="B8" i="2"/>
  <c r="B7" i="2"/>
  <c r="B6" i="2"/>
  <c r="B5" i="2"/>
  <c r="B4" i="2"/>
  <c r="B3" i="2"/>
  <c r="A2" i="2"/>
  <c r="B2" i="2"/>
  <c r="H3" i="1"/>
  <c r="H4" i="1"/>
  <c r="H5" i="1"/>
  <c r="H6" i="1"/>
  <c r="H7" i="1"/>
  <c r="H8" i="1"/>
  <c r="H9" i="1"/>
  <c r="H10" i="1"/>
  <c r="H11" i="1"/>
  <c r="H13" i="1"/>
  <c r="I11" i="1"/>
  <c r="I10" i="1"/>
  <c r="I8" i="1"/>
  <c r="I7" i="1"/>
  <c r="I6" i="1"/>
  <c r="I5" i="1"/>
  <c r="I4" i="1"/>
  <c r="K3" i="1" a="1"/>
  <c r="K3" i="1"/>
  <c r="J3" i="1" a="1"/>
  <c r="J3" i="1"/>
  <c r="I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5E5792-0E48-4FFE-8194-0C30560714F0}" keepAlive="1" name="Requête - JournalDeTravail_M5" description="Connexion à la requête « JournalDeTravail_M5 » dans le classeur." type="5" refreshedVersion="0" background="1">
    <dbPr connection="Provider=Microsoft.Mashup.OleDb.1;Data Source=$Workbook$;Location=JournalDeTravail_M5;Extended Properties=&quot;&quot;" command="SELECT * FROM [JournalDeTravail_M5]"/>
  </connection>
  <connection id="2" xr16:uid="{FA8B2506-4C4D-4BE8-93E5-66D5C1840505}" keepAlive="1" name="Requête - JournalDeTravail_M5 (2)" description="Connexion à la requête « JournalDeTravail_M5 (2) » dans le classeur." type="5" refreshedVersion="0" background="1">
    <dbPr connection="Provider=Microsoft.Mashup.OleDb.1;Data Source=$Workbook$;Location=&quot;JournalDeTravail_M5 (2)&quot;;Extended Properties=&quot;&quot;" command="SELECT * FROM [JournalDeTravail_M5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<sst xmlns="http://schemas.openxmlformats.org/spreadsheetml/2006/main" count="165" uniqueCount="123">
  <si>
    <t>date</t>
  </si>
  <si>
    <t>Temps</t>
  </si>
  <si>
    <t>type de travail</t>
  </si>
  <si>
    <t>description</t>
  </si>
  <si>
    <t>somme</t>
  </si>
  <si>
    <t>22.04.2026</t>
  </si>
  <si>
    <t>Documentation</t>
  </si>
  <si>
    <t>Création du cahier des charges</t>
  </si>
  <si>
    <t>Cours</t>
  </si>
  <si>
    <t>27.04.2026</t>
  </si>
  <si>
    <t>Plannification</t>
  </si>
  <si>
    <t>Création de la plannification global du projet avec les différents sprints</t>
  </si>
  <si>
    <t>30.04.2026</t>
  </si>
  <si>
    <t>Réedition du cahier des charges</t>
  </si>
  <si>
    <t>Recherche</t>
  </si>
  <si>
    <t>Création du dépot GitHub, arboressance du projet et README</t>
  </si>
  <si>
    <t>Recherche de protocol de comm. + recherche sur le projet</t>
  </si>
  <si>
    <t>Programmation</t>
  </si>
  <si>
    <t>01.05.2026</t>
  </si>
  <si>
    <t>Recherche de composants</t>
  </si>
  <si>
    <t>Tests</t>
  </si>
  <si>
    <t>Documentation des composant séléctionnés</t>
  </si>
  <si>
    <t>Prototypage</t>
  </si>
  <si>
    <t>Recherche des composant chez distributeur</t>
  </si>
  <si>
    <t>Présentation</t>
  </si>
  <si>
    <t>Création d'une liste de composant avec prix</t>
  </si>
  <si>
    <t>Somme</t>
  </si>
  <si>
    <t>Ajout des différentes librairies sur KiCad</t>
  </si>
  <si>
    <t>Création d'une librairie de composants pour le projet</t>
  </si>
  <si>
    <t xml:space="preserve">Temps restant </t>
  </si>
  <si>
    <t>Circuit d'alimentation avec schéma + liste de matériel</t>
  </si>
  <si>
    <t>Refonte de l'alimentation + norme EN 55032 Classe B</t>
  </si>
  <si>
    <t>Ajout de toutes les documentation + prix des composants</t>
  </si>
  <si>
    <t>Documentation technique du schéma du prototype</t>
  </si>
  <si>
    <t>Placement des composant, routage sur le PCB du prototype</t>
  </si>
  <si>
    <t>Documentation de l'implémentation du prototypage</t>
  </si>
  <si>
    <t>Discution avec JET (ELT2) pour l'impression de la carte</t>
  </si>
  <si>
    <t>Correction de la violation de la RDC.</t>
  </si>
  <si>
    <t>Recherche de solution pour le software</t>
  </si>
  <si>
    <t>Documentation des différents choix pour le software</t>
  </si>
  <si>
    <t>Phases</t>
  </si>
  <si>
    <t>Tâche</t>
  </si>
  <si>
    <t>06.05.2026</t>
  </si>
  <si>
    <t>07.05.2026</t>
  </si>
  <si>
    <t>11.05.2026</t>
  </si>
  <si>
    <t>18.05.2026</t>
  </si>
  <si>
    <t>22.05.2026</t>
  </si>
  <si>
    <t>28.05.2026</t>
  </si>
  <si>
    <t>01.06.2026</t>
  </si>
  <si>
    <t>03.06.2026</t>
  </si>
  <si>
    <t>08.06.2026</t>
  </si>
  <si>
    <t>11.06.2026</t>
  </si>
  <si>
    <t>12.06.2026</t>
  </si>
  <si>
    <t>15.06.2026</t>
  </si>
  <si>
    <t>17.06.2026</t>
  </si>
  <si>
    <t>18.06.2026</t>
  </si>
  <si>
    <t>H</t>
  </si>
  <si>
    <t>S</t>
  </si>
  <si>
    <t>Sprints</t>
  </si>
  <si>
    <t xml:space="preserve">Absence : </t>
  </si>
  <si>
    <t>18.05.26 à 22.05.26 : IFA Formation</t>
  </si>
  <si>
    <t>Cahier des charges</t>
  </si>
  <si>
    <t>Documentation  technique</t>
  </si>
  <si>
    <t>Conception</t>
  </si>
  <si>
    <t>Choix des composants</t>
  </si>
  <si>
    <t>Schéma électronique</t>
  </si>
  <si>
    <t>Implémentation</t>
  </si>
  <si>
    <t>Tests fonctionnements prototype</t>
  </si>
  <si>
    <t>Développement logiciel</t>
  </si>
  <si>
    <t>Arch. de communication (API et automate)</t>
  </si>
  <si>
    <t>Arch trammes</t>
  </si>
  <si>
    <t>Schéma de données (stockage)</t>
  </si>
  <si>
    <t>Librairie RFID</t>
  </si>
  <si>
    <t>Dév. logiciel embarqué</t>
  </si>
  <si>
    <t>Tests, Validation et Livrables</t>
  </si>
  <si>
    <t>Tests globaux</t>
  </si>
  <si>
    <t>Debug</t>
  </si>
  <si>
    <t>Schéma électrique final + PCB</t>
  </si>
  <si>
    <t>Impression PCB + assemblage</t>
  </si>
  <si>
    <t>Création boitier</t>
  </si>
  <si>
    <t>Création présentation</t>
  </si>
  <si>
    <t>Finalisation des livrables (archive du projet)</t>
  </si>
  <si>
    <t>Jalons</t>
  </si>
  <si>
    <t>Planifié</t>
  </si>
  <si>
    <t>Remise du travail complet</t>
  </si>
  <si>
    <t>Dans les temps</t>
  </si>
  <si>
    <t>Retard</t>
  </si>
  <si>
    <t>réédition des documents</t>
  </si>
  <si>
    <t>présentation</t>
  </si>
  <si>
    <t>finaliser projet</t>
  </si>
  <si>
    <t>Mois</t>
  </si>
  <si>
    <t>Octobre</t>
  </si>
  <si>
    <t>Novembre</t>
  </si>
  <si>
    <t>Décembre</t>
  </si>
  <si>
    <t>Janvier</t>
  </si>
  <si>
    <t>Février</t>
  </si>
  <si>
    <t xml:space="preserve">10 semaines à 5 périodes  </t>
  </si>
  <si>
    <t>Étude des besoins</t>
  </si>
  <si>
    <t xml:space="preserve">Organigramme </t>
  </si>
  <si>
    <t>De octobre 2025 à janvier 2026</t>
  </si>
  <si>
    <t>Service réseau</t>
  </si>
  <si>
    <t>Remise :  11.02.2026</t>
  </si>
  <si>
    <t>Présentation : ?</t>
  </si>
  <si>
    <t>Nombre de nœuds</t>
  </si>
  <si>
    <t>Remédiation : ?</t>
  </si>
  <si>
    <t>Sécurité</t>
  </si>
  <si>
    <t>Conception
 Logique</t>
  </si>
  <si>
    <t>Topologie logique</t>
  </si>
  <si>
    <t>Plan d'adressage IPv4 et IPv6</t>
  </si>
  <si>
    <t>Planification du projet</t>
  </si>
  <si>
    <t>Analyse impl.</t>
  </si>
  <si>
    <t>Plan physique</t>
  </si>
  <si>
    <t>Liste de matériels</t>
  </si>
  <si>
    <t>Mise en place de la sécurité</t>
  </si>
  <si>
    <t>Simulation</t>
  </si>
  <si>
    <t>Création du réseau sur packet tracer</t>
  </si>
  <si>
    <t>Test du réseau</t>
  </si>
  <si>
    <t>Debug du réseau + checklist</t>
  </si>
  <si>
    <t>Journal de travail</t>
  </si>
  <si>
    <t>Préparation a la présentation</t>
  </si>
  <si>
    <t>Planifiée</t>
  </si>
  <si>
    <t>Effective</t>
  </si>
  <si>
    <t>Commande 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</si>
</sst>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;@"/>
    <numFmt numFmtId="165" formatCode="hh:mm;@"/>
    <numFmt numFmtId="166" formatCode="0.0&quot; H&quot;;@"/>
    <numFmt numFmtId="167" formatCode="0&quot;H&quot;"/>
    <numFmt numFmtId="168" formatCode="[$-F400]h:mm:ss\ AM/PM"/>
    <numFmt numFmtId="169" formatCode="yyyy\-mm\-dd;@"/>
  </numFmts>
  <fonts count="5" x14ac:knownFonts="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indexed="2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2"/>
        <bgColor theme="2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</fills>
  <borders count="9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dashDotDot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dashDotDot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dashDotDot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dashDotDot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Dashed">
        <color auto="1"/>
      </right>
      <top style="medium">
        <color auto="1"/>
      </top>
      <bottom style="mediumDashed">
        <color auto="1"/>
      </bottom>
      <diagonal/>
    </border>
    <border>
      <left/>
      <right/>
      <top style="medium">
        <color auto="1"/>
      </top>
      <bottom style="mediumDashed">
        <color auto="1"/>
      </bottom>
      <diagonal/>
    </border>
    <border>
      <left/>
      <right style="medium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 style="dashDot">
        <color auto="1"/>
      </right>
      <top/>
      <bottom/>
      <diagonal/>
    </border>
    <border>
      <left style="dashDot">
        <color auto="1"/>
      </left>
      <right style="dashDot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Dashed">
        <color auto="1"/>
      </right>
      <top style="medium">
        <color auto="1"/>
      </top>
      <bottom/>
      <diagonal/>
    </border>
    <border>
      <left style="mediumDashed">
        <color auto="1"/>
      </left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dashDot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Dashed">
        <color auto="1"/>
      </right>
      <top/>
      <bottom style="thin">
        <color auto="1"/>
      </bottom>
      <diagonal/>
    </border>
    <border>
      <left style="mediumDashed">
        <color auto="1"/>
      </left>
      <right style="dashDot">
        <color auto="1"/>
      </right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Dashed">
        <color auto="1"/>
      </right>
      <top style="thin">
        <color auto="1"/>
      </top>
      <bottom/>
      <diagonal/>
    </border>
    <border>
      <left style="mediumDashed">
        <color auto="1"/>
      </left>
      <right style="dashDot">
        <color auto="1"/>
      </right>
      <top style="thin">
        <color auto="1"/>
      </top>
      <bottom/>
      <diagonal/>
    </border>
    <border>
      <left style="dashDot">
        <color auto="1"/>
      </left>
      <right style="dash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Dashed">
        <color auto="1"/>
      </right>
      <top/>
      <bottom style="medium">
        <color auto="1"/>
      </bottom>
      <diagonal/>
    </border>
    <border>
      <left style="mediumDashed">
        <color auto="1"/>
      </left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 style="dashDot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 style="dashDotDot">
        <color auto="1"/>
      </right>
      <top/>
      <bottom/>
      <diagonal/>
    </border>
    <border>
      <left/>
      <right style="dashDot">
        <color auto="1"/>
      </right>
      <top/>
      <bottom/>
      <diagonal/>
    </border>
    <border>
      <left style="mediumDashed">
        <color auto="1"/>
      </left>
      <right style="dashDotDot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/>
      <diagonal/>
    </border>
    <border>
      <left/>
      <right style="dashDotDot">
        <color auto="1"/>
      </right>
      <top style="medium">
        <color auto="1"/>
      </top>
      <bottom/>
      <diagonal/>
    </border>
    <border>
      <left style="dashDotDot">
        <color auto="1"/>
      </left>
      <right style="dashDotDot">
        <color auto="1"/>
      </right>
      <top style="medium">
        <color auto="1"/>
      </top>
      <bottom/>
      <diagonal/>
    </border>
    <border>
      <left style="dashDotDot">
        <color auto="1"/>
      </left>
      <right style="mediumDashed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Dashed">
        <color auto="1"/>
      </right>
      <top/>
      <bottom style="thin">
        <color auto="1"/>
      </bottom>
      <diagonal/>
    </border>
    <border>
      <left/>
      <right style="dashDotDot">
        <color auto="1"/>
      </right>
      <top/>
      <bottom style="thin">
        <color auto="1"/>
      </bottom>
      <diagonal/>
    </border>
    <border>
      <left style="dashDotDot">
        <color auto="1"/>
      </left>
      <right style="dashDotDot">
        <color auto="1"/>
      </right>
      <top/>
      <bottom style="thin">
        <color auto="1"/>
      </bottom>
      <diagonal/>
    </border>
    <border>
      <left style="dashDotDot">
        <color auto="1"/>
      </left>
      <right style="mediumDashed">
        <color auto="1"/>
      </right>
      <top/>
      <bottom style="thin">
        <color auto="1"/>
      </bottom>
      <diagonal/>
    </border>
    <border>
      <left style="medium">
        <color auto="1"/>
      </left>
      <right style="mediumDashed">
        <color auto="1"/>
      </right>
      <top style="thin">
        <color auto="1"/>
      </top>
      <bottom/>
      <diagonal/>
    </border>
    <border>
      <left/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 style="mediumDashed">
        <color auto="1"/>
      </right>
      <top style="thin">
        <color auto="1"/>
      </top>
      <bottom/>
      <diagonal/>
    </border>
    <border>
      <left style="medium">
        <color auto="1"/>
      </left>
      <right style="mediumDashed">
        <color auto="1"/>
      </right>
      <top/>
      <bottom/>
      <diagonal/>
    </border>
    <border>
      <left/>
      <right style="dashDotDot">
        <color auto="1"/>
      </right>
      <top/>
      <bottom/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auto="1"/>
      </left>
      <right style="mediumDashed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/>
      <bottom style="medium">
        <color auto="1"/>
      </bottom>
      <diagonal/>
    </border>
    <border>
      <left/>
      <right style="dashDotDot">
        <color auto="1"/>
      </right>
      <top/>
      <bottom style="medium">
        <color auto="1"/>
      </bottom>
      <diagonal/>
    </border>
    <border>
      <left style="dashDotDot">
        <color auto="1"/>
      </left>
      <right style="dashDotDot">
        <color auto="1"/>
      </right>
      <top/>
      <bottom style="medium">
        <color auto="1"/>
      </bottom>
      <diagonal/>
    </border>
    <border>
      <left style="dashDotDot">
        <color auto="1"/>
      </left>
      <right style="mediumDashed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Protection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9" fontId="1" fillId="0" borderId="0" xfId="1" applyFont="1"/>
    <xf numFmtId="2" fontId="1" fillId="0" borderId="0" xfId="0" applyNumberFormat="1" applyFont="1"/>
    <xf numFmtId="167" fontId="1" fillId="0" borderId="0" xfId="0" applyNumberFormat="1" applyFont="1"/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166" fontId="1" fillId="0" borderId="0" xfId="0" applyNumberFormat="1" applyFont="1"/>
    <xf numFmtId="14" fontId="0" fillId="0" borderId="0" xfId="0" applyNumberFormat="1" applyAlignment="1">
      <alignment horizontal="left"/>
    </xf>
    <xf numFmtId="14" fontId="0" fillId="0" borderId="2" xfId="0" applyNumberFormat="1" applyBorder="1"/>
    <xf numFmtId="0" fontId="0" fillId="0" borderId="2" xfId="0" applyBorder="1"/>
    <xf numFmtId="168" fontId="0" fillId="0" borderId="0" xfId="0" applyNumberFormat="1"/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14" fontId="0" fillId="0" borderId="0" xfId="0" applyNumberFormat="1"/>
    <xf numFmtId="169" fontId="0" fillId="0" borderId="0" xfId="0" applyNumberFormat="1"/>
    <xf numFmtId="0" fontId="0" fillId="0" borderId="0" xfId="0" applyProtection="1">
      <protection locked="0"/>
    </xf>
    <xf numFmtId="0" fontId="0" fillId="2" borderId="3" xfId="0" applyFill="1" applyBorder="1" applyAlignment="1" applyProtection="1">
      <alignment horizontal="center" vertical="center" textRotation="180" wrapText="1"/>
      <protection locked="0"/>
    </xf>
    <xf numFmtId="0" fontId="0" fillId="2" borderId="3" xfId="0" applyFill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 textRotation="180"/>
      <protection locked="0"/>
    </xf>
    <xf numFmtId="0" fontId="2" fillId="3" borderId="3" xfId="0" applyFont="1" applyFill="1" applyBorder="1" applyAlignment="1" applyProtection="1">
      <alignment horizontal="center" vertical="center" textRotation="180"/>
      <protection locked="0"/>
    </xf>
    <xf numFmtId="0" fontId="0" fillId="0" borderId="0" xfId="0" applyAlignment="1" applyProtection="1">
      <alignment textRotation="180" wrapText="1"/>
      <protection locked="0"/>
    </xf>
    <xf numFmtId="0" fontId="0" fillId="4" borderId="4" xfId="0" applyFill="1" applyBorder="1" applyAlignment="1" applyProtection="1">
      <alignment horizontal="center" vertical="center" textRotation="180" wrapText="1"/>
      <protection locked="0"/>
    </xf>
    <xf numFmtId="0" fontId="0" fillId="4" borderId="4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6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7" borderId="10" xfId="0" applyFill="1" applyBorder="1"/>
    <xf numFmtId="0" fontId="0" fillId="5" borderId="13" xfId="0" applyFill="1" applyBorder="1"/>
    <xf numFmtId="0" fontId="0" fillId="8" borderId="3" xfId="0" applyFill="1" applyBorder="1"/>
    <xf numFmtId="0" fontId="0" fillId="5" borderId="3" xfId="0" applyFill="1" applyBorder="1"/>
    <xf numFmtId="0" fontId="0" fillId="5" borderId="15" xfId="0" applyFill="1" applyBorder="1"/>
    <xf numFmtId="0" fontId="0" fillId="5" borderId="16" xfId="0" applyFill="1" applyBorder="1"/>
    <xf numFmtId="0" fontId="0" fillId="7" borderId="3" xfId="0" applyFill="1" applyBorder="1"/>
    <xf numFmtId="0" fontId="0" fillId="5" borderId="17" xfId="0" applyFill="1" applyBorder="1"/>
    <xf numFmtId="0" fontId="0" fillId="6" borderId="3" xfId="0" applyFill="1" applyBorder="1"/>
    <xf numFmtId="0" fontId="0" fillId="9" borderId="3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10" borderId="3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9" borderId="22" xfId="0" applyFill="1" applyBorder="1"/>
    <xf numFmtId="0" fontId="0" fillId="8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7" borderId="22" xfId="0" applyFill="1" applyBorder="1"/>
    <xf numFmtId="0" fontId="0" fillId="9" borderId="25" xfId="0" applyFill="1" applyBorder="1"/>
    <xf numFmtId="0" fontId="0" fillId="11" borderId="3" xfId="0" applyFill="1" applyBorder="1"/>
    <xf numFmtId="0" fontId="0" fillId="11" borderId="15" xfId="0" applyFill="1" applyBorder="1"/>
    <xf numFmtId="0" fontId="0" fillId="6" borderId="11" xfId="0" applyFill="1" applyBorder="1"/>
    <xf numFmtId="0" fontId="0" fillId="6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6" borderId="13" xfId="0" applyFill="1" applyBorder="1"/>
    <xf numFmtId="0" fontId="0" fillId="0" borderId="3" xfId="0" applyBorder="1" applyAlignment="1">
      <alignment vertical="center"/>
    </xf>
    <xf numFmtId="16" fontId="0" fillId="0" borderId="0" xfId="0" applyNumberFormat="1"/>
    <xf numFmtId="15" fontId="0" fillId="0" borderId="0" xfId="0" applyNumberFormat="1"/>
    <xf numFmtId="0" fontId="0" fillId="2" borderId="30" xfId="0" applyFill="1" applyBorder="1" applyAlignment="1">
      <alignment horizontal="center" vertical="center" textRotation="180"/>
    </xf>
    <xf numFmtId="0" fontId="0" fillId="2" borderId="32" xfId="0" applyFill="1" applyBorder="1" applyAlignment="1">
      <alignment horizontal="center" vertical="center" textRotation="180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0" xfId="0" applyFill="1" applyBorder="1"/>
    <xf numFmtId="0" fontId="0" fillId="0" borderId="41" xfId="0" applyBorder="1"/>
    <xf numFmtId="0" fontId="0" fillId="12" borderId="42" xfId="0" applyFill="1" applyBorder="1"/>
    <xf numFmtId="0" fontId="0" fillId="0" borderId="43" xfId="0" applyBorder="1"/>
    <xf numFmtId="0" fontId="0" fillId="0" borderId="42" xfId="0" applyBorder="1"/>
    <xf numFmtId="0" fontId="0" fillId="0" borderId="44" xfId="0" applyBorder="1"/>
    <xf numFmtId="0" fontId="0" fillId="2" borderId="35" xfId="0" applyFill="1" applyBorder="1"/>
    <xf numFmtId="0" fontId="0" fillId="0" borderId="46" xfId="0" applyBorder="1"/>
    <xf numFmtId="0" fontId="0" fillId="13" borderId="47" xfId="0" applyFill="1" applyBorder="1"/>
    <xf numFmtId="0" fontId="0" fillId="13" borderId="48" xfId="0" applyFill="1" applyBorder="1"/>
    <xf numFmtId="0" fontId="0" fillId="0" borderId="48" xfId="0" applyBorder="1"/>
    <xf numFmtId="0" fontId="0" fillId="0" borderId="47" xfId="0" applyBorder="1"/>
    <xf numFmtId="0" fontId="0" fillId="0" borderId="49" xfId="0" applyBorder="1"/>
    <xf numFmtId="0" fontId="0" fillId="2" borderId="51" xfId="0" applyFill="1" applyBorder="1"/>
    <xf numFmtId="0" fontId="0" fillId="0" borderId="52" xfId="0" applyBorder="1"/>
    <xf numFmtId="0" fontId="0" fillId="12" borderId="53" xfId="0" applyFill="1" applyBorder="1"/>
    <xf numFmtId="0" fontId="0" fillId="12" borderId="54" xfId="0" applyFill="1" applyBorder="1"/>
    <xf numFmtId="0" fontId="0" fillId="0" borderId="54" xfId="0" applyBorder="1"/>
    <xf numFmtId="0" fontId="0" fillId="0" borderId="53" xfId="0" applyBorder="1"/>
    <xf numFmtId="0" fontId="0" fillId="0" borderId="55" xfId="0" applyBorder="1"/>
    <xf numFmtId="0" fontId="0" fillId="2" borderId="56" xfId="0" applyFill="1" applyBorder="1"/>
    <xf numFmtId="0" fontId="0" fillId="0" borderId="58" xfId="0" applyBorder="1"/>
    <xf numFmtId="0" fontId="0" fillId="0" borderId="59" xfId="0" applyBorder="1"/>
    <xf numFmtId="0" fontId="0" fillId="13" borderId="60" xfId="0" applyFill="1" applyBorder="1"/>
    <xf numFmtId="0" fontId="0" fillId="0" borderId="60" xfId="0" applyBorder="1"/>
    <xf numFmtId="0" fontId="0" fillId="0" borderId="61" xfId="0" applyBorder="1"/>
    <xf numFmtId="0" fontId="0" fillId="12" borderId="43" xfId="0" applyFill="1" applyBorder="1"/>
    <xf numFmtId="0" fontId="0" fillId="12" borderId="41" xfId="0" applyFill="1" applyBorder="1"/>
    <xf numFmtId="0" fontId="0" fillId="2" borderId="51" xfId="0" applyFill="1" applyBorder="1" applyAlignment="1">
      <alignment horizontal="left"/>
    </xf>
    <xf numFmtId="0" fontId="0" fillId="13" borderId="46" xfId="0" applyFill="1" applyBorder="1"/>
    <xf numFmtId="0" fontId="0" fillId="12" borderId="52" xfId="0" applyFill="1" applyBorder="1"/>
    <xf numFmtId="0" fontId="0" fillId="13" borderId="59" xfId="0" applyFill="1" applyBorder="1"/>
    <xf numFmtId="0" fontId="0" fillId="14" borderId="47" xfId="0" applyFill="1" applyBorder="1"/>
    <xf numFmtId="0" fontId="0" fillId="2" borderId="36" xfId="0" applyFill="1" applyBorder="1"/>
    <xf numFmtId="0" fontId="0" fillId="0" borderId="37" xfId="0" applyBorder="1"/>
    <xf numFmtId="0" fontId="0" fillId="0" borderId="38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40" xfId="0" applyBorder="1"/>
    <xf numFmtId="0" fontId="0" fillId="0" borderId="67" xfId="0" applyBorder="1"/>
    <xf numFmtId="0" fontId="0" fillId="12" borderId="68" xfId="0" applyFill="1" applyBorder="1"/>
    <xf numFmtId="0" fontId="0" fillId="12" borderId="69" xfId="0" applyFill="1" applyBorder="1"/>
    <xf numFmtId="0" fontId="0" fillId="12" borderId="70" xfId="0" applyFill="1" applyBorder="1"/>
    <xf numFmtId="0" fontId="0" fillId="12" borderId="44" xfId="0" applyFill="1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13" borderId="74" xfId="0" applyFill="1" applyBorder="1"/>
    <xf numFmtId="0" fontId="0" fillId="0" borderId="77" xfId="0" applyBorder="1"/>
    <xf numFmtId="0" fontId="0" fillId="12" borderId="78" xfId="0" applyFill="1" applyBorder="1"/>
    <xf numFmtId="0" fontId="0" fillId="12" borderId="79" xfId="0" applyFill="1" applyBorder="1"/>
    <xf numFmtId="0" fontId="0" fillId="12" borderId="80" xfId="0" applyFill="1" applyBorder="1"/>
    <xf numFmtId="0" fontId="0" fillId="12" borderId="55" xfId="0" applyFill="1" applyBorder="1"/>
    <xf numFmtId="0" fontId="0" fillId="13" borderId="75" xfId="0" applyFill="1" applyBorder="1"/>
    <xf numFmtId="0" fontId="0" fillId="13" borderId="76" xfId="0" applyFill="1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12" borderId="40" xfId="0" applyFill="1" applyBorder="1"/>
    <xf numFmtId="0" fontId="0" fillId="12" borderId="85" xfId="0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13" borderId="92" xfId="0" applyFill="1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3" fillId="5" borderId="9" xfId="0" applyFont="1" applyFill="1" applyBorder="1" applyAlignment="1">
      <alignment horizontal="center" vertical="center" textRotation="180"/>
    </xf>
    <xf numFmtId="0" fontId="3" fillId="5" borderId="14" xfId="0" applyFont="1" applyFill="1" applyBorder="1" applyAlignment="1">
      <alignment horizontal="center" vertical="center" textRotation="180"/>
    </xf>
    <xf numFmtId="0" fontId="3" fillId="5" borderId="20" xfId="0" applyFont="1" applyFill="1" applyBorder="1" applyAlignment="1">
      <alignment horizontal="center" vertical="center" textRotation="180"/>
    </xf>
    <xf numFmtId="0" fontId="0" fillId="5" borderId="10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" fillId="9" borderId="9" xfId="0" applyFont="1" applyFill="1" applyBorder="1" applyAlignment="1">
      <alignment horizontal="center" vertical="center" textRotation="180"/>
    </xf>
    <xf numFmtId="0" fontId="3" fillId="9" borderId="14" xfId="0" applyFont="1" applyFill="1" applyBorder="1" applyAlignment="1">
      <alignment horizontal="center" vertical="center" textRotation="180"/>
    </xf>
    <xf numFmtId="0" fontId="3" fillId="9" borderId="20" xfId="0" applyFont="1" applyFill="1" applyBorder="1" applyAlignment="1">
      <alignment horizontal="center" vertical="center" textRotation="180"/>
    </xf>
    <xf numFmtId="0" fontId="0" fillId="5" borderId="26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3" fillId="9" borderId="27" xfId="0" applyFont="1" applyFill="1" applyBorder="1" applyAlignment="1">
      <alignment horizontal="center" vertical="center" textRotation="180"/>
    </xf>
    <xf numFmtId="0" fontId="3" fillId="9" borderId="28" xfId="0" applyFont="1" applyFill="1" applyBorder="1" applyAlignment="1">
      <alignment horizontal="center" vertical="center" textRotation="180"/>
    </xf>
    <xf numFmtId="0" fontId="3" fillId="9" borderId="29" xfId="0" applyFont="1" applyFill="1" applyBorder="1" applyAlignment="1">
      <alignment horizontal="center" vertical="center" textRotation="180"/>
    </xf>
    <xf numFmtId="0" fontId="0" fillId="9" borderId="26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22" xfId="0" applyFill="1" applyBorder="1" applyAlignment="1">
      <alignment horizontal="left" vertical="center"/>
    </xf>
    <xf numFmtId="0" fontId="0" fillId="2" borderId="30" xfId="0" applyFill="1" applyBorder="1" applyAlignment="1">
      <alignment horizontal="center" vertical="center" textRotation="180"/>
    </xf>
    <xf numFmtId="0" fontId="0" fillId="2" borderId="36" xfId="0" applyFill="1" applyBorder="1" applyAlignment="1">
      <alignment horizontal="center" vertical="center" textRotation="180"/>
    </xf>
    <xf numFmtId="0" fontId="0" fillId="2" borderId="31" xfId="0" applyFill="1" applyBorder="1" applyAlignment="1">
      <alignment horizontal="left" vertical="center"/>
    </xf>
    <xf numFmtId="0" fontId="0" fillId="2" borderId="45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65" xfId="0" applyFill="1" applyBorder="1" applyAlignment="1">
      <alignment horizontal="center" vertical="center" textRotation="180"/>
    </xf>
    <xf numFmtId="0" fontId="0" fillId="2" borderId="71" xfId="0" applyFill="1" applyBorder="1" applyAlignment="1">
      <alignment horizontal="center" vertical="center" textRotation="180"/>
    </xf>
    <xf numFmtId="0" fontId="0" fillId="2" borderId="86" xfId="0" applyFill="1" applyBorder="1" applyAlignment="1">
      <alignment horizontal="center" vertical="center" textRotation="180"/>
    </xf>
    <xf numFmtId="0" fontId="0" fillId="2" borderId="66" xfId="0" applyFill="1" applyBorder="1" applyAlignment="1">
      <alignment horizontal="left" vertical="center"/>
    </xf>
    <xf numFmtId="0" fontId="0" fillId="2" borderId="72" xfId="0" applyFill="1" applyBorder="1" applyAlignment="1">
      <alignment horizontal="left" vertical="center"/>
    </xf>
    <xf numFmtId="0" fontId="0" fillId="2" borderId="87" xfId="0" applyFill="1" applyBorder="1" applyAlignment="1">
      <alignment horizontal="left" vertical="center"/>
    </xf>
    <xf numFmtId="0" fontId="0" fillId="2" borderId="30" xfId="0" applyFill="1" applyBorder="1" applyAlignment="1">
      <alignment horizontal="center" vertical="center" textRotation="180" wrapText="1"/>
    </xf>
    <xf numFmtId="0" fontId="0" fillId="2" borderId="56" xfId="0" applyFill="1" applyBorder="1" applyAlignment="1">
      <alignment horizontal="center" vertical="center" textRotation="180"/>
    </xf>
    <xf numFmtId="0" fontId="0" fillId="2" borderId="57" xfId="0" applyFill="1" applyBorder="1" applyAlignment="1">
      <alignment horizontal="left" vertical="center"/>
    </xf>
    <xf numFmtId="0" fontId="0" fillId="2" borderId="33" xfId="0" applyFill="1" applyBorder="1" applyAlignment="1">
      <alignment horizontal="center" vertical="center" textRotation="180"/>
    </xf>
    <xf numFmtId="0" fontId="0" fillId="2" borderId="34" xfId="0" applyFill="1" applyBorder="1" applyAlignment="1">
      <alignment horizontal="center" vertical="center" textRotation="180"/>
    </xf>
    <xf numFmtId="0" fontId="0" fillId="0" borderId="0" xfId="0" applyAlignment="1">
      <alignment horizontal="left"/>
    </xf>
    <xf numFmtId="0" fontId="0" fillId="2" borderId="35" xfId="0" applyFill="1" applyBorder="1" applyAlignment="1">
      <alignment horizontal="center" vertical="center" textRotation="180" wrapText="1"/>
    </xf>
    <xf numFmtId="0" fontId="0" fillId="2" borderId="32" xfId="0" applyFill="1" applyBorder="1" applyAlignment="1">
      <alignment horizontal="center" vertical="center" textRotation="180"/>
    </xf>
  </cellXfs>
  <cellStyles count="2">
    <cellStyle name="Normal" xfId="0" builtinId="0"/>
    <cellStyle name="Pourcentage" xfId="1" builtinId="5"/>
  </cellStyles>
  <dxfs count="5">
    <dxf>
      <numFmt numFmtId="166" formatCode="0.0&quot; H&quot;;@"/>
      <alignment horizontal="center" vertical="center" textRotation="0" wrapText="0" relativeIndent="0" shrinkToFit="0" readingOrder="0"/>
    </dxf>
    <dxf>
      <alignment vertical="center" textRotation="0" wrapText="1" relativeIndent="0" shrinkToFit="0" readingOrder="0"/>
    </dxf>
    <dxf>
      <alignment vertical="center" textRotation="0" wrapText="0" relativeIndent="0" shrinkToFit="0" readingOrder="0"/>
    </dxf>
    <dxf>
      <numFmt numFmtId="165" formatCode="hh:mm;@"/>
      <alignment horizontal="center" vertical="center" textRotation="0" wrapText="0" relativeIndent="0" shrinkToFit="0" readingOrder="0"/>
    </dxf>
    <dxf>
      <numFmt numFmtId="19" formatCode="dd/mm/yyyy"/>
      <alignment horizontal="left" vertical="center" textRotation="0" wrapText="0" relativeIndent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H"/>
              <a:t>Répartition des heures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944000000000001"/>
          <c:y val="0.13067000000000001"/>
          <c:w val="0.59641999999999995"/>
          <c:h val="0.701529999999999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FC1-4BB8-9FD6-68F9F110D729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FC1-4BB8-9FD6-68F9F110D729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FC1-4BB8-9FD6-68F9F110D729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FC1-4BB8-9FD6-68F9F110D729}"/>
              </c:ext>
            </c:extLst>
          </c:dPt>
          <c:dPt>
            <c:idx val="4"/>
            <c:bubble3D val="0"/>
            <c:spPr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FC1-4BB8-9FD6-68F9F110D729}"/>
              </c:ext>
            </c:extLst>
          </c:dPt>
          <c:dPt>
            <c:idx val="5"/>
            <c:bubble3D val="0"/>
            <c:spPr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7FC1-4BB8-9FD6-68F9F110D729}"/>
              </c:ext>
            </c:extLst>
          </c:dPt>
          <c:dPt>
            <c:idx val="6"/>
            <c:bubble3D val="0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7FC1-4BB8-9FD6-68F9F110D729}"/>
              </c:ext>
            </c:extLst>
          </c:dPt>
          <c:cat>
            <c:strRef>
              <c:f>Journal!$G$3:$G$10</c:f>
              <c:strCache>
                <c:ptCount val="8"/>
                <c:pt idx="0">
                  <c:v>Cours</c:v>
                </c:pt>
                <c:pt idx="1">
                  <c:v>Plannification</c:v>
                </c:pt>
                <c:pt idx="2">
                  <c:v>Recherche</c:v>
                </c:pt>
                <c:pt idx="3">
                  <c:v>Documentation</c:v>
                </c:pt>
                <c:pt idx="4">
                  <c:v>Programmation</c:v>
                </c:pt>
                <c:pt idx="5">
                  <c:v>Tests</c:v>
                </c:pt>
                <c:pt idx="6">
                  <c:v>Prototypage</c:v>
                </c:pt>
                <c:pt idx="7">
                  <c:v>Présentation</c:v>
                </c:pt>
              </c:strCache>
            </c:strRef>
          </c:cat>
          <c:val>
            <c:numRef>
              <c:f>Journal!$H$3:$H$10</c:f>
              <c:numCache>
                <c:formatCode>0.0" H";@</c:formatCode>
                <c:ptCount val="8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22.333333333333336</c:v>
                </c:pt>
                <c:pt idx="4">
                  <c:v>0</c:v>
                </c:pt>
                <c:pt idx="5">
                  <c:v>1</c:v>
                </c:pt>
                <c:pt idx="6">
                  <c:v>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FC1-4BB8-9FD6-68F9F110D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9234654" y="182658"/>
      <a:ext cx="3713606" cy="315722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du nombre d'heure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78999999999999"/>
          <c:y val="0.13891000000000001"/>
          <c:w val="0.85224"/>
          <c:h val="0.59060000000000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SommeParJours!$B$1</c:f>
              <c:strCache>
                <c:ptCount val="1"/>
                <c:pt idx="0">
                  <c:v>somme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SommeParJours!$A$2:$A$27</c:f>
              <c:strCache>
                <c:ptCount val="9"/>
                <c:pt idx="0">
                  <c:v>22.04.2026</c:v>
                </c:pt>
                <c:pt idx="1">
                  <c:v>27.04.2026</c:v>
                </c:pt>
                <c:pt idx="2">
                  <c:v>30.04.2026</c:v>
                </c:pt>
                <c:pt idx="3">
                  <c:v>01.05.2026</c:v>
                </c:pt>
                <c:pt idx="4">
                  <c:v>04.05.2026</c:v>
                </c:pt>
                <c:pt idx="5">
                  <c:v>05.05.2026</c:v>
                </c:pt>
                <c:pt idx="6">
                  <c:v>06.05.2026</c:v>
                </c:pt>
                <c:pt idx="7">
                  <c:v>07.05.2026</c:v>
                </c:pt>
                <c:pt idx="8">
                  <c:v>17.05.2026</c:v>
                </c:pt>
              </c:strCache>
            </c:strRef>
          </c:cat>
          <c:val>
            <c:numRef>
              <c:f>SommeParJours!$B$2:$B$27</c:f>
              <c:numCache>
                <c:formatCode>h:mm;@</c:formatCode>
                <c:ptCount val="26"/>
                <c:pt idx="0">
                  <c:v>0.29166666666666669</c:v>
                </c:pt>
                <c:pt idx="1">
                  <c:v>0.10416666666666667</c:v>
                </c:pt>
                <c:pt idx="2">
                  <c:v>0.29166666666666663</c:v>
                </c:pt>
                <c:pt idx="3">
                  <c:v>0.3125</c:v>
                </c:pt>
                <c:pt idx="4">
                  <c:v>0.3125</c:v>
                </c:pt>
                <c:pt idx="5">
                  <c:v>0.1388888888888889</c:v>
                </c:pt>
                <c:pt idx="6">
                  <c:v>0.39583333333333331</c:v>
                </c:pt>
                <c:pt idx="7">
                  <c:v>0.35416666666666663</c:v>
                </c:pt>
                <c:pt idx="8">
                  <c:v>2.0833333333333332E-2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110-833B-ACD8D272E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489864"/>
        <c:axId val="745490224"/>
      </c:barChart>
      <c:catAx>
        <c:axId val="74548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Date</a:t>
                </a:r>
                <a:endParaRPr/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5490224"/>
        <c:crosses val="autoZero"/>
        <c:auto val="0"/>
        <c:lblAlgn val="ctr"/>
        <c:lblOffset val="100"/>
        <c:noMultiLvlLbl val="1"/>
      </c:catAx>
      <c:valAx>
        <c:axId val="7454902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900"/>
                  <a:t>Nombre d'heures</a:t>
                </a:r>
                <a:endParaRPr lang="fr-CH"/>
              </a:p>
            </c:rich>
          </c:tx>
          <c:layout>
            <c:manualLayout>
              <c:xMode val="edge"/>
              <c:yMode val="edge"/>
              <c:x val="1.5668000000000001E-2"/>
              <c:y val="0.322494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h:mm;@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5489864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808999999999999E-2"/>
          <c:y val="0.92556099999999997"/>
          <c:w val="0.15863099999999999"/>
          <c:h val="6.2167E-2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367744</xdr:colOff>
      <xdr:row>1</xdr:row>
      <xdr:rowOff>2549</xdr:rowOff>
    </xdr:from>
    <xdr:to>
      <xdr:col>14</xdr:col>
      <xdr:colOff>458388</xdr:colOff>
      <xdr:row>17</xdr:row>
      <xdr:rowOff>90995</xdr:rowOff>
    </xdr:to>
    <xdr:graphicFrame macro="">
      <xdr:nvGraphicFramePr>
        <xdr:cNvPr id="605939511" name="Graphique 605939510">
          <a:extLst>
            <a:ext uri="{FF2B5EF4-FFF2-40B4-BE49-F238E27FC236}">
              <a16:creationId xmlns:a16="http://schemas.microsoft.com/office/drawing/2014/main" id="{00000000-0008-0000-0000-000037E71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68108</xdr:colOff>
      <xdr:row>0</xdr:row>
      <xdr:rowOff>70845</xdr:rowOff>
    </xdr:from>
    <xdr:to>
      <xdr:col>10</xdr:col>
      <xdr:colOff>701125</xdr:colOff>
      <xdr:row>21</xdr:row>
      <xdr:rowOff>9885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" displayName="Journal" ref="B2:E24">
  <autoFilter ref="B2:E24" xr:uid="{00000000-0009-0000-0100-000001000000}"/>
  <tableColumns count="4">
    <tableColumn id="1" xr3:uid="{00000000-0010-0000-0000-000001000000}" name="date" dataDxfId="4"/>
    <tableColumn id="2" xr3:uid="{00000000-0010-0000-0000-000002000000}" name="Temps" dataDxfId="3"/>
    <tableColumn id="3" xr3:uid="{00000000-0010-0000-0000-000003000000}" name="type de travail" dataDxfId="2"/>
    <tableColumn id="4" xr3:uid="{00000000-0010-0000-0000-000004000000}" name="description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ypes" displayName="types" ref="G2:H11">
  <autoFilter ref="G2:H11" xr:uid="{00000000-0009-0000-0100-000002000000}"/>
  <tableColumns count="2">
    <tableColumn id="1" xr3:uid="{00000000-0010-0000-0100-000001000000}" name="type de travail"/>
    <tableColumn id="2" xr3:uid="{00000000-0010-0000-0100-000002000000}" name="somm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2:K81"/>
  <sheetViews>
    <sheetView tabSelected="1" topLeftCell="A16" zoomScale="130" workbookViewId="0">
      <selection activeCell="B25" sqref="B25"/>
    </sheetView>
  </sheetViews>
  <sheetFormatPr baseColWidth="10" defaultColWidth="8.88671875" defaultRowHeight="14.4" x14ac:dyDescent="0.3"/>
  <cols>
    <col min="1" max="1" width="2" customWidth="1"/>
    <col min="2" max="2" width="11.33203125" customWidth="1"/>
    <col min="3" max="3" width="7.6640625" style="1" customWidth="1"/>
    <col min="4" max="4" width="15.21875" bestFit="1" customWidth="1"/>
    <col min="5" max="5" width="56.109375" style="2" customWidth="1"/>
    <col min="6" max="6" width="2.88671875" customWidth="1"/>
    <col min="7" max="7" width="27.44140625" customWidth="1"/>
    <col min="8" max="8" width="10.21875" customWidth="1"/>
    <col min="9" max="9" width="10.109375" bestFit="1" customWidth="1"/>
  </cols>
  <sheetData>
    <row r="2" spans="2:11" x14ac:dyDescent="0.3">
      <c r="B2" t="s">
        <v>0</v>
      </c>
      <c r="C2" s="1" t="s">
        <v>1</v>
      </c>
      <c r="D2" t="s">
        <v>2</v>
      </c>
      <c r="E2" s="2" t="s">
        <v>3</v>
      </c>
      <c r="G2" t="s">
        <v>2</v>
      </c>
      <c r="H2" s="3" t="s">
        <v>4</v>
      </c>
      <c r="J2" s="4"/>
      <c r="K2" s="4"/>
    </row>
    <row r="3" spans="2:11" x14ac:dyDescent="0.3">
      <c r="B3" s="5" t="s">
        <v>5</v>
      </c>
      <c r="C3" s="6">
        <v>0.29166666666666669</v>
      </c>
      <c r="D3" s="7" t="s">
        <v>6</v>
      </c>
      <c r="E3" s="8" t="s">
        <v>7</v>
      </c>
      <c r="G3" s="9" t="s">
        <v>8</v>
      </c>
      <c r="H3" s="10">
        <f>SUMIF(Journal[type de travail],types[[#This Row],[type de travail]],Journal[Temps])*24</f>
        <v>0</v>
      </c>
      <c r="I3" s="11">
        <f>types[[#This Row],[somme]]/$H$11</f>
        <v>0</v>
      </c>
      <c r="J3" s="12" t="str" cm="1">
        <f t="array" ref="J3:J8">_xlfn._xlws.FILTER(G3:G11,H3:H11&gt;0)</f>
        <v>Plannification</v>
      </c>
      <c r="K3" s="13" cm="1">
        <f t="array" ref="K3:K8">_xlfn._xlws.FILTER(H3:H11,H3:H11&gt;0)</f>
        <v>2.5</v>
      </c>
    </row>
    <row r="4" spans="2:11" ht="28.8" x14ac:dyDescent="0.3">
      <c r="B4" s="5" t="s">
        <v>9</v>
      </c>
      <c r="C4" s="6">
        <v>0.10416666666666667</v>
      </c>
      <c r="D4" s="7" t="s">
        <v>10</v>
      </c>
      <c r="E4" s="8" t="s">
        <v>11</v>
      </c>
      <c r="G4" s="7" t="s">
        <v>10</v>
      </c>
      <c r="H4" s="10">
        <f>SUMIF(Journal[type de travail],types[[#This Row],[type de travail]],Journal[Temps])*24</f>
        <v>2.5</v>
      </c>
      <c r="I4" s="11">
        <f>types[[#This Row],[somme]]/$H$11</f>
        <v>4.6875E-2</v>
      </c>
      <c r="J4" s="4" t="str">
        <v>Recherche</v>
      </c>
      <c r="K4" s="13">
        <v>7.5</v>
      </c>
    </row>
    <row r="5" spans="2:11" x14ac:dyDescent="0.3">
      <c r="B5" s="5" t="s">
        <v>12</v>
      </c>
      <c r="C5" s="6">
        <v>0.125</v>
      </c>
      <c r="D5" s="7" t="s">
        <v>6</v>
      </c>
      <c r="E5" s="8" t="s">
        <v>13</v>
      </c>
      <c r="G5" s="9" t="s">
        <v>14</v>
      </c>
      <c r="H5" s="10">
        <f>SUMIF(Journal[type de travail],types[[#This Row],[type de travail]],Journal[Temps])*24</f>
        <v>7.5</v>
      </c>
      <c r="I5" s="11">
        <f>types[[#This Row],[somme]]/$H$11</f>
        <v>0.140625</v>
      </c>
      <c r="J5" s="4" t="str">
        <v>Documentation</v>
      </c>
      <c r="K5" s="13">
        <v>22.333333333333336</v>
      </c>
    </row>
    <row r="6" spans="2:11" x14ac:dyDescent="0.3">
      <c r="B6" s="5" t="s">
        <v>12</v>
      </c>
      <c r="C6" s="6">
        <v>8.3333333333333329E-2</v>
      </c>
      <c r="D6" s="7" t="s">
        <v>6</v>
      </c>
      <c r="E6" s="8" t="s">
        <v>15</v>
      </c>
      <c r="G6" s="9" t="s">
        <v>6</v>
      </c>
      <c r="H6" s="10">
        <f>SUMIF(Journal[type de travail],types[[#This Row],[type de travail]],Journal[Temps])*24</f>
        <v>22.333333333333336</v>
      </c>
      <c r="I6" s="11">
        <f>types[[#This Row],[somme]]/$H$11</f>
        <v>0.41875000000000001</v>
      </c>
      <c r="J6" s="4" t="str">
        <v>Tests</v>
      </c>
      <c r="K6" s="13">
        <v>1</v>
      </c>
    </row>
    <row r="7" spans="2:11" x14ac:dyDescent="0.3">
      <c r="B7" s="5" t="s">
        <v>12</v>
      </c>
      <c r="C7" s="6">
        <v>8.3333333333333329E-2</v>
      </c>
      <c r="D7" s="7" t="s">
        <v>14</v>
      </c>
      <c r="E7" s="8" t="s">
        <v>16</v>
      </c>
      <c r="G7" s="9" t="s">
        <v>17</v>
      </c>
      <c r="H7" s="10">
        <f>SUMIF(Journal[type de travail],types[[#This Row],[type de travail]],Journal[Temps])*24</f>
        <v>0</v>
      </c>
      <c r="I7" s="11">
        <f>types[[#This Row],[somme]]/$H$11</f>
        <v>0</v>
      </c>
      <c r="J7" s="4" t="str">
        <v>Prototypage</v>
      </c>
      <c r="K7" s="13">
        <v>20</v>
      </c>
    </row>
    <row r="8" spans="2:11" x14ac:dyDescent="0.3">
      <c r="B8" s="5" t="s">
        <v>18</v>
      </c>
      <c r="C8" s="6">
        <v>0.125</v>
      </c>
      <c r="D8" s="7" t="s">
        <v>14</v>
      </c>
      <c r="E8" s="8" t="s">
        <v>19</v>
      </c>
      <c r="G8" s="9" t="s">
        <v>20</v>
      </c>
      <c r="H8" s="10">
        <f>SUMIF(Journal[type de travail],types[[#This Row],[type de travail]],Journal[Temps])*24</f>
        <v>1</v>
      </c>
      <c r="I8" s="11">
        <f>types[[#This Row],[somme]]/$H$11</f>
        <v>1.8749999999999999E-2</v>
      </c>
      <c r="J8" s="4" t="str">
        <v>Somme</v>
      </c>
      <c r="K8" s="13">
        <v>53.333333333333336</v>
      </c>
    </row>
    <row r="9" spans="2:11" x14ac:dyDescent="0.3">
      <c r="B9" s="5" t="s">
        <v>18</v>
      </c>
      <c r="C9" s="6">
        <v>0.125</v>
      </c>
      <c r="D9" s="7" t="s">
        <v>6</v>
      </c>
      <c r="E9" s="8" t="s">
        <v>21</v>
      </c>
      <c r="G9" s="9" t="s">
        <v>22</v>
      </c>
      <c r="H9" s="10">
        <f>SUMIF(Journal[type de travail],types[[#This Row],[type de travail]],Journal[Temps])*24</f>
        <v>20</v>
      </c>
      <c r="I9" s="11"/>
      <c r="J9" s="4"/>
      <c r="K9" s="13"/>
    </row>
    <row r="10" spans="2:11" x14ac:dyDescent="0.3">
      <c r="B10" s="5" t="s">
        <v>18</v>
      </c>
      <c r="C10" s="6">
        <v>4.1666666666666664E-2</v>
      </c>
      <c r="D10" s="7" t="s">
        <v>14</v>
      </c>
      <c r="E10" s="8" t="s">
        <v>23</v>
      </c>
      <c r="G10" s="14" t="s">
        <v>24</v>
      </c>
      <c r="H10" s="15">
        <f>SUMIF(Journal[type de travail],types[[#This Row],[type de travail]],Journal[Temps])*24</f>
        <v>0</v>
      </c>
      <c r="I10" s="11">
        <f>types[[#This Row],[somme]]/$H$11</f>
        <v>0</v>
      </c>
      <c r="J10" s="4"/>
      <c r="K10" s="16"/>
    </row>
    <row r="11" spans="2:11" x14ac:dyDescent="0.3">
      <c r="B11" s="5" t="s">
        <v>18</v>
      </c>
      <c r="C11" s="6">
        <v>2.0833333333333332E-2</v>
      </c>
      <c r="D11" s="7" t="s">
        <v>6</v>
      </c>
      <c r="E11" s="8" t="s">
        <v>25</v>
      </c>
      <c r="G11" s="7" t="s">
        <v>26</v>
      </c>
      <c r="H11" s="10">
        <f>SUM(H3:H10)</f>
        <v>53.333333333333336</v>
      </c>
      <c r="I11" s="11">
        <f>types[[#This Row],[somme]]/$H$11</f>
        <v>1</v>
      </c>
      <c r="J11" s="4"/>
      <c r="K11" s="4"/>
    </row>
    <row r="12" spans="2:11" x14ac:dyDescent="0.3">
      <c r="B12" s="5">
        <v>46146</v>
      </c>
      <c r="C12" s="6">
        <v>8.3333333333333329E-2</v>
      </c>
      <c r="D12" s="7" t="s">
        <v>22</v>
      </c>
      <c r="E12" s="2" t="s">
        <v>27</v>
      </c>
      <c r="H12" s="10"/>
      <c r="J12" s="4"/>
      <c r="K12" s="4"/>
    </row>
    <row r="13" spans="2:11" x14ac:dyDescent="0.3">
      <c r="B13" s="5">
        <v>46146</v>
      </c>
      <c r="C13" s="6">
        <v>0.16666666666666666</v>
      </c>
      <c r="D13" s="7" t="s">
        <v>22</v>
      </c>
      <c r="E13" s="8" t="s">
        <v>28</v>
      </c>
      <c r="G13" t="s">
        <v>29</v>
      </c>
      <c r="H13" s="10">
        <f>SUM(Plannification!C2:S2)-H11</f>
        <v>21.666666666666664</v>
      </c>
    </row>
    <row r="14" spans="2:11" x14ac:dyDescent="0.3">
      <c r="B14" s="17">
        <v>46146</v>
      </c>
      <c r="C14" s="6">
        <v>6.25E-2</v>
      </c>
      <c r="D14" s="7" t="s">
        <v>22</v>
      </c>
      <c r="E14" s="8" t="s">
        <v>30</v>
      </c>
    </row>
    <row r="15" spans="2:11" x14ac:dyDescent="0.3">
      <c r="B15" s="5">
        <v>46147</v>
      </c>
      <c r="C15" s="6">
        <v>0.125</v>
      </c>
      <c r="D15" s="7" t="s">
        <v>22</v>
      </c>
      <c r="E15" s="8" t="s">
        <v>31</v>
      </c>
    </row>
    <row r="16" spans="2:11" x14ac:dyDescent="0.3">
      <c r="B16" s="5">
        <v>46147</v>
      </c>
      <c r="C16" s="6">
        <v>1.3888888888888888E-2</v>
      </c>
      <c r="D16" s="7" t="s">
        <v>6</v>
      </c>
      <c r="E16" s="8" t="s">
        <v>32</v>
      </c>
    </row>
    <row r="17" spans="2:5" x14ac:dyDescent="0.3">
      <c r="B17" s="5">
        <v>46148</v>
      </c>
      <c r="C17" s="6">
        <v>6.25E-2</v>
      </c>
      <c r="D17" s="7" t="s">
        <v>6</v>
      </c>
      <c r="E17" s="8" t="s">
        <v>33</v>
      </c>
    </row>
    <row r="18" spans="2:5" x14ac:dyDescent="0.3">
      <c r="B18" s="5">
        <v>46148</v>
      </c>
      <c r="C18" s="6">
        <v>0.33333333333333331</v>
      </c>
      <c r="D18" s="7" t="s">
        <v>22</v>
      </c>
      <c r="E18" s="8" t="s">
        <v>34</v>
      </c>
    </row>
    <row r="19" spans="2:5" x14ac:dyDescent="0.3">
      <c r="B19" s="5">
        <v>46149</v>
      </c>
      <c r="C19" s="6">
        <v>8.3333333333333329E-2</v>
      </c>
      <c r="D19" s="7" t="s">
        <v>6</v>
      </c>
      <c r="E19" s="8" t="s">
        <v>35</v>
      </c>
    </row>
    <row r="20" spans="2:5" x14ac:dyDescent="0.3">
      <c r="B20" s="5">
        <v>46149</v>
      </c>
      <c r="C20" s="6">
        <v>6.25E-2</v>
      </c>
      <c r="D20" s="7" t="s">
        <v>22</v>
      </c>
      <c r="E20" s="8" t="s">
        <v>36</v>
      </c>
    </row>
    <row r="21" spans="2:5" x14ac:dyDescent="0.3">
      <c r="B21" s="5">
        <v>46149</v>
      </c>
      <c r="C21" s="6">
        <v>4.1666666666666664E-2</v>
      </c>
      <c r="D21" s="7" t="s">
        <v>20</v>
      </c>
      <c r="E21" s="8" t="s">
        <v>37</v>
      </c>
    </row>
    <row r="22" spans="2:5" x14ac:dyDescent="0.3">
      <c r="B22" s="5">
        <v>46149</v>
      </c>
      <c r="C22" s="6">
        <v>6.25E-2</v>
      </c>
      <c r="D22" s="7" t="s">
        <v>14</v>
      </c>
      <c r="E22" s="8" t="s">
        <v>38</v>
      </c>
    </row>
    <row r="23" spans="2:5" x14ac:dyDescent="0.3">
      <c r="B23" s="5">
        <v>46149</v>
      </c>
      <c r="C23" s="6">
        <v>0.10416666666666667</v>
      </c>
      <c r="D23" s="7" t="s">
        <v>6</v>
      </c>
      <c r="E23" s="8" t="s">
        <v>39</v>
      </c>
    </row>
    <row r="24" spans="2:5" x14ac:dyDescent="0.3">
      <c r="B24" s="5">
        <v>46159</v>
      </c>
      <c r="C24" s="6">
        <v>2.0833333333333332E-2</v>
      </c>
      <c r="D24" s="7" t="s">
        <v>6</v>
      </c>
      <c r="E24" s="8" t="s">
        <v>122</v>
      </c>
    </row>
    <row r="25" spans="2:5" x14ac:dyDescent="0.3">
      <c r="B25" s="5"/>
      <c r="C25" s="6"/>
      <c r="D25" s="7"/>
      <c r="E25" s="8"/>
    </row>
    <row r="26" spans="2:5" x14ac:dyDescent="0.3">
      <c r="B26" s="5"/>
      <c r="C26" s="6"/>
      <c r="D26" s="7"/>
      <c r="E26" s="8"/>
    </row>
    <row r="27" spans="2:5" x14ac:dyDescent="0.3">
      <c r="B27" s="5"/>
      <c r="C27" s="6"/>
      <c r="D27" s="7"/>
      <c r="E27" s="8"/>
    </row>
    <row r="28" spans="2:5" x14ac:dyDescent="0.3">
      <c r="B28" s="5"/>
      <c r="C28" s="6"/>
      <c r="D28" s="7"/>
      <c r="E28" s="8"/>
    </row>
    <row r="29" spans="2:5" x14ac:dyDescent="0.3">
      <c r="B29" s="5"/>
      <c r="C29" s="6"/>
      <c r="D29" s="7"/>
      <c r="E29" s="8"/>
    </row>
    <row r="30" spans="2:5" x14ac:dyDescent="0.3">
      <c r="B30" s="5"/>
      <c r="C30" s="6"/>
      <c r="D30" s="7"/>
      <c r="E30" s="8"/>
    </row>
    <row r="31" spans="2:5" x14ac:dyDescent="0.3">
      <c r="B31" s="5"/>
      <c r="C31" s="6"/>
      <c r="D31" s="7"/>
      <c r="E31" s="8"/>
    </row>
    <row r="32" spans="2:5" x14ac:dyDescent="0.3">
      <c r="B32" s="5"/>
      <c r="C32" s="6"/>
      <c r="D32" s="7"/>
      <c r="E32" s="8"/>
    </row>
    <row r="33" spans="2:10" x14ac:dyDescent="0.3">
      <c r="B33" s="5"/>
      <c r="C33" s="6"/>
      <c r="D33" s="7"/>
      <c r="E33" s="8"/>
    </row>
    <row r="34" spans="2:10" x14ac:dyDescent="0.3">
      <c r="B34" s="5"/>
      <c r="C34" s="6"/>
      <c r="D34" s="7"/>
      <c r="E34" s="8"/>
    </row>
    <row r="35" spans="2:10" x14ac:dyDescent="0.3">
      <c r="B35" s="5"/>
      <c r="C35" s="6"/>
      <c r="D35" s="7"/>
      <c r="E35" s="8"/>
    </row>
    <row r="36" spans="2:10" x14ac:dyDescent="0.3">
      <c r="B36" s="5"/>
      <c r="C36" s="6"/>
      <c r="D36" s="7"/>
      <c r="E36" s="8"/>
    </row>
    <row r="37" spans="2:10" x14ac:dyDescent="0.3">
      <c r="B37" s="5"/>
      <c r="C37" s="6"/>
      <c r="D37" s="7"/>
      <c r="E37" s="8"/>
    </row>
    <row r="38" spans="2:10" x14ac:dyDescent="0.3">
      <c r="B38" s="5"/>
      <c r="C38" s="6"/>
      <c r="D38" s="7"/>
      <c r="E38" s="8"/>
    </row>
    <row r="39" spans="2:10" x14ac:dyDescent="0.3">
      <c r="B39" s="5"/>
      <c r="C39" s="6"/>
      <c r="D39" s="7"/>
      <c r="E39" s="8"/>
    </row>
    <row r="40" spans="2:10" x14ac:dyDescent="0.3">
      <c r="B40" s="5"/>
      <c r="C40" s="6"/>
      <c r="D40" s="7"/>
      <c r="E40" s="8"/>
      <c r="H40" s="18"/>
      <c r="I40" s="19"/>
      <c r="J40" s="20"/>
    </row>
    <row r="41" spans="2:10" x14ac:dyDescent="0.3">
      <c r="B41" s="5"/>
      <c r="C41" s="6"/>
      <c r="D41" s="7"/>
      <c r="E41" s="8"/>
    </row>
    <row r="42" spans="2:10" x14ac:dyDescent="0.3">
      <c r="B42" s="5"/>
      <c r="C42" s="6"/>
      <c r="D42" s="7"/>
      <c r="E42" s="8"/>
    </row>
    <row r="43" spans="2:10" x14ac:dyDescent="0.3">
      <c r="B43" s="5"/>
      <c r="C43" s="6"/>
      <c r="D43" s="7"/>
      <c r="E43" s="8"/>
    </row>
    <row r="44" spans="2:10" x14ac:dyDescent="0.3">
      <c r="B44" s="5"/>
      <c r="C44" s="6"/>
      <c r="D44" s="7"/>
      <c r="E44" s="8"/>
    </row>
    <row r="45" spans="2:10" x14ac:dyDescent="0.3">
      <c r="B45" s="5"/>
      <c r="C45" s="6"/>
      <c r="D45" s="7"/>
      <c r="E45" s="8"/>
    </row>
    <row r="46" spans="2:10" x14ac:dyDescent="0.3">
      <c r="B46" s="5"/>
      <c r="C46" s="6"/>
      <c r="D46" s="7"/>
      <c r="E46" s="8"/>
    </row>
    <row r="47" spans="2:10" x14ac:dyDescent="0.3">
      <c r="B47" s="5"/>
      <c r="C47" s="6"/>
      <c r="D47" s="7"/>
      <c r="E47" s="8"/>
    </row>
    <row r="48" spans="2:10" x14ac:dyDescent="0.3">
      <c r="B48" s="5"/>
      <c r="C48" s="6"/>
      <c r="D48" s="7"/>
      <c r="E48" s="8"/>
    </row>
    <row r="49" spans="2:5" x14ac:dyDescent="0.3">
      <c r="B49" s="21"/>
      <c r="C49" s="22"/>
      <c r="D49" s="7"/>
      <c r="E49" s="8"/>
    </row>
    <row r="50" spans="2:5" x14ac:dyDescent="0.3">
      <c r="B50" s="21"/>
      <c r="C50" s="22"/>
      <c r="D50" s="7"/>
      <c r="E50" s="8"/>
    </row>
    <row r="51" spans="2:5" x14ac:dyDescent="0.3">
      <c r="B51" s="21"/>
      <c r="C51" s="22"/>
      <c r="D51" s="7"/>
      <c r="E51" s="8"/>
    </row>
    <row r="52" spans="2:5" x14ac:dyDescent="0.3">
      <c r="B52" s="21"/>
      <c r="C52" s="22"/>
      <c r="D52" s="7"/>
      <c r="E52" s="8"/>
    </row>
    <row r="53" spans="2:5" x14ac:dyDescent="0.3">
      <c r="B53" s="21"/>
      <c r="C53" s="22"/>
      <c r="D53" s="7"/>
      <c r="E53" s="8"/>
    </row>
    <row r="54" spans="2:5" x14ac:dyDescent="0.3">
      <c r="B54" s="21"/>
      <c r="C54" s="23"/>
      <c r="D54" s="7"/>
      <c r="E54" s="8"/>
    </row>
    <row r="55" spans="2:5" x14ac:dyDescent="0.3">
      <c r="B55" s="21"/>
      <c r="C55" s="23"/>
      <c r="D55" s="7"/>
      <c r="E55" s="8"/>
    </row>
    <row r="56" spans="2:5" x14ac:dyDescent="0.3">
      <c r="B56" s="21"/>
      <c r="C56" s="23"/>
      <c r="D56" s="7"/>
      <c r="E56" s="8"/>
    </row>
    <row r="57" spans="2:5" x14ac:dyDescent="0.3">
      <c r="B57" s="21"/>
      <c r="C57" s="23"/>
      <c r="D57" s="7"/>
      <c r="E57" s="8"/>
    </row>
    <row r="58" spans="2:5" x14ac:dyDescent="0.3">
      <c r="B58" s="21"/>
      <c r="C58" s="23"/>
      <c r="D58" s="7"/>
      <c r="E58" s="8"/>
    </row>
    <row r="59" spans="2:5" x14ac:dyDescent="0.3">
      <c r="B59" s="21"/>
      <c r="C59" s="23"/>
      <c r="D59" s="7"/>
      <c r="E59" s="8"/>
    </row>
    <row r="60" spans="2:5" x14ac:dyDescent="0.3">
      <c r="B60" s="21"/>
      <c r="C60" s="23"/>
      <c r="D60" s="7"/>
      <c r="E60" s="8"/>
    </row>
    <row r="61" spans="2:5" x14ac:dyDescent="0.3">
      <c r="B61" s="21"/>
      <c r="C61" s="23"/>
      <c r="D61" s="7"/>
      <c r="E61" s="8"/>
    </row>
    <row r="62" spans="2:5" x14ac:dyDescent="0.3">
      <c r="B62" s="21"/>
      <c r="C62" s="23"/>
      <c r="D62" s="7"/>
      <c r="E62" s="8"/>
    </row>
    <row r="63" spans="2:5" x14ac:dyDescent="0.3">
      <c r="B63" s="21"/>
      <c r="C63" s="23"/>
      <c r="D63" s="7"/>
      <c r="E63" s="8"/>
    </row>
    <row r="64" spans="2:5" x14ac:dyDescent="0.3">
      <c r="B64" s="21"/>
      <c r="C64" s="23"/>
      <c r="D64" s="7"/>
      <c r="E64" s="8"/>
    </row>
    <row r="65" spans="2:5" x14ac:dyDescent="0.3">
      <c r="B65" s="21"/>
      <c r="C65" s="23"/>
      <c r="D65" s="7"/>
      <c r="E65" s="8"/>
    </row>
    <row r="66" spans="2:5" x14ac:dyDescent="0.3">
      <c r="B66" s="21"/>
      <c r="C66" s="23"/>
      <c r="D66" s="7"/>
      <c r="E66" s="8"/>
    </row>
    <row r="67" spans="2:5" x14ac:dyDescent="0.3">
      <c r="B67" s="21"/>
      <c r="C67" s="23"/>
      <c r="D67" s="7"/>
      <c r="E67" s="8"/>
    </row>
    <row r="68" spans="2:5" x14ac:dyDescent="0.3">
      <c r="B68" s="21"/>
      <c r="C68" s="23"/>
      <c r="D68" s="7"/>
      <c r="E68" s="8"/>
    </row>
    <row r="69" spans="2:5" x14ac:dyDescent="0.3">
      <c r="B69" s="21"/>
      <c r="C69" s="23"/>
      <c r="D69" s="7"/>
      <c r="E69" s="8"/>
    </row>
    <row r="70" spans="2:5" x14ac:dyDescent="0.3">
      <c r="B70" s="21"/>
      <c r="C70" s="23"/>
      <c r="D70" s="7"/>
      <c r="E70" s="8"/>
    </row>
    <row r="71" spans="2:5" x14ac:dyDescent="0.3">
      <c r="B71" s="21"/>
      <c r="C71" s="23"/>
      <c r="D71" s="7"/>
      <c r="E71" s="8"/>
    </row>
    <row r="72" spans="2:5" x14ac:dyDescent="0.3">
      <c r="B72" s="21"/>
      <c r="C72" s="23"/>
      <c r="D72" s="7"/>
      <c r="E72" s="8"/>
    </row>
    <row r="73" spans="2:5" x14ac:dyDescent="0.3">
      <c r="B73" s="21"/>
      <c r="C73" s="23"/>
      <c r="D73" s="7"/>
      <c r="E73" s="8"/>
    </row>
    <row r="74" spans="2:5" x14ac:dyDescent="0.3">
      <c r="B74" s="21"/>
      <c r="C74" s="23"/>
      <c r="D74" s="7"/>
      <c r="E74" s="8"/>
    </row>
    <row r="75" spans="2:5" x14ac:dyDescent="0.3">
      <c r="B75" s="21"/>
      <c r="C75" s="23"/>
      <c r="D75" s="7"/>
      <c r="E75" s="8"/>
    </row>
    <row r="76" spans="2:5" x14ac:dyDescent="0.3">
      <c r="B76" s="7"/>
      <c r="C76" s="23"/>
      <c r="D76" s="7"/>
      <c r="E76" s="8"/>
    </row>
    <row r="77" spans="2:5" x14ac:dyDescent="0.3">
      <c r="B77" s="7"/>
      <c r="C77" s="23"/>
      <c r="D77" s="7"/>
      <c r="E77" s="8"/>
    </row>
    <row r="78" spans="2:5" x14ac:dyDescent="0.3">
      <c r="B78" s="7"/>
      <c r="C78" s="23"/>
      <c r="D78" s="7"/>
      <c r="E78" s="8"/>
    </row>
    <row r="79" spans="2:5" x14ac:dyDescent="0.3">
      <c r="B79" s="7"/>
      <c r="C79" s="23"/>
      <c r="D79" s="7"/>
      <c r="E79" s="8"/>
    </row>
    <row r="80" spans="2:5" x14ac:dyDescent="0.3">
      <c r="B80" s="7"/>
      <c r="C80" s="23"/>
      <c r="D80" s="7"/>
      <c r="E80" s="8"/>
    </row>
    <row r="81" spans="2:5" x14ac:dyDescent="0.3">
      <c r="B81" s="7"/>
      <c r="C81" s="23"/>
      <c r="D81" s="7"/>
      <c r="E81" s="8"/>
    </row>
  </sheetData>
  <dataValidations count="2">
    <dataValidation type="list" allowBlank="1" showInputMessage="1" showErrorMessage="1" sqref="D8 D11:D56" xr:uid="{00EE005C-00CC-4422-A291-00F800DA001D}">
      <formula1>$G$3:$G$11</formula1>
    </dataValidation>
    <dataValidation type="list" allowBlank="1" showInputMessage="1" showErrorMessage="1" sqref="D3:D7" xr:uid="{003300C3-00C7-467E-9229-00B200B000A4}">
      <formula1>$G$3:$G$10</formula1>
    </dataValidation>
  </dataValidations>
  <pageMargins left="0.7" right="0.7" top="0.75" bottom="0.75" header="0.3" footer="0.3"/>
  <pageSetup paperSize="9" orientation="landscape"/>
  <headerFooter>
    <oddHeader>&amp;LÉcole Supérieur Technique&amp;CJournal de travail - M5&amp;RTINF2</oddHeader>
    <oddFooter>&amp;LHoferL-JournalPlanif-M5.xlsx&amp;RLHO/04.02.2026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235"/>
  <sheetViews>
    <sheetView zoomScale="130" workbookViewId="0">
      <selection activeCell="P19" sqref="P19"/>
    </sheetView>
  </sheetViews>
  <sheetFormatPr baseColWidth="10" defaultRowHeight="14.4" x14ac:dyDescent="0.3"/>
  <cols>
    <col min="3" max="3" width="5.6640625" style="4" bestFit="1" customWidth="1"/>
    <col min="4" max="4" width="12.21875" bestFit="1" customWidth="1"/>
    <col min="5" max="5" width="9.5546875" bestFit="1" customWidth="1"/>
    <col min="6" max="6" width="11.109375" bestFit="1" customWidth="1"/>
  </cols>
  <sheetData>
    <row r="1" spans="1:3" x14ac:dyDescent="0.3">
      <c r="A1" t="s">
        <v>0</v>
      </c>
      <c r="B1" t="s">
        <v>4</v>
      </c>
      <c r="C1"/>
    </row>
    <row r="2" spans="1:3" x14ac:dyDescent="0.3">
      <c r="A2" s="17" t="str" cm="1">
        <f t="array" ref="A2:A10">_xlfn.UNIQUE(Journal[date])</f>
        <v>22.04.2026</v>
      </c>
      <c r="B2" s="24">
        <f>SUMIF(Journal[date],SommeParJours!A2,Journal[Temps])</f>
        <v>0.29166666666666669</v>
      </c>
      <c r="C2" s="24"/>
    </row>
    <row r="3" spans="1:3" x14ac:dyDescent="0.3">
      <c r="A3" s="17" t="str">
        <v>27.04.2026</v>
      </c>
      <c r="B3" s="24">
        <f>SUMIF(Journal[date],SommeParJours!A3,Journal[Temps])</f>
        <v>0.10416666666666667</v>
      </c>
      <c r="C3"/>
    </row>
    <row r="4" spans="1:3" x14ac:dyDescent="0.3">
      <c r="A4" s="17" t="str">
        <v>30.04.2026</v>
      </c>
      <c r="B4" s="24">
        <f>SUMIF(Journal[date],SommeParJours!A4,Journal[Temps])</f>
        <v>0.29166666666666663</v>
      </c>
      <c r="C4"/>
    </row>
    <row r="5" spans="1:3" x14ac:dyDescent="0.3">
      <c r="A5" s="17" t="str">
        <v>01.05.2026</v>
      </c>
      <c r="B5" s="24">
        <f>SUMIF(Journal[date],SommeParJours!A5,Journal[Temps])</f>
        <v>0.3125</v>
      </c>
      <c r="C5"/>
    </row>
    <row r="6" spans="1:3" x14ac:dyDescent="0.3">
      <c r="A6" s="17">
        <v>46146</v>
      </c>
      <c r="B6" s="24">
        <f>SUMIF(Journal[date],SommeParJours!A6,Journal[Temps])</f>
        <v>0.3125</v>
      </c>
      <c r="C6"/>
    </row>
    <row r="7" spans="1:3" x14ac:dyDescent="0.3">
      <c r="A7" s="17">
        <v>46147</v>
      </c>
      <c r="B7" s="24">
        <f>SUMIF(Journal[date],SommeParJours!A7,Journal[Temps])</f>
        <v>0.1388888888888889</v>
      </c>
      <c r="C7"/>
    </row>
    <row r="8" spans="1:3" x14ac:dyDescent="0.3">
      <c r="A8" s="17">
        <v>46148</v>
      </c>
      <c r="B8" s="24">
        <f>SUMIF(Journal[date],SommeParJours!A8,Journal[Temps])</f>
        <v>0.39583333333333331</v>
      </c>
      <c r="C8"/>
    </row>
    <row r="9" spans="1:3" x14ac:dyDescent="0.3">
      <c r="A9" s="17">
        <v>46149</v>
      </c>
      <c r="B9" s="24">
        <f>SUMIF(Journal[date],SommeParJours!A9,Journal[Temps])</f>
        <v>0.35416666666666663</v>
      </c>
      <c r="C9"/>
    </row>
    <row r="10" spans="1:3" x14ac:dyDescent="0.3">
      <c r="A10" s="17">
        <v>46159</v>
      </c>
      <c r="B10" s="24">
        <f>SUMIF(Journal[date],SommeParJours!A10,Journal[Temps])</f>
        <v>2.0833333333333332E-2</v>
      </c>
      <c r="C10"/>
    </row>
    <row r="11" spans="1:3" x14ac:dyDescent="0.3">
      <c r="A11" s="17"/>
      <c r="B11" s="24">
        <f>SUMIF(Journal[date],SommeParJours!A11,Journal[Temps])</f>
        <v>0</v>
      </c>
      <c r="C11"/>
    </row>
    <row r="12" spans="1:3" x14ac:dyDescent="0.3">
      <c r="A12" s="17"/>
      <c r="B12" s="24">
        <f>SUMIF(Journal[date],SommeParJours!A12,Journal[Temps])</f>
        <v>0</v>
      </c>
      <c r="C12"/>
    </row>
    <row r="13" spans="1:3" x14ac:dyDescent="0.3">
      <c r="A13" s="17"/>
      <c r="B13" s="24">
        <f>SUMIF(Journal[date],SommeParJours!A13,Journal[Temps])</f>
        <v>0</v>
      </c>
      <c r="C13"/>
    </row>
    <row r="14" spans="1:3" x14ac:dyDescent="0.3">
      <c r="A14" s="17"/>
      <c r="B14" s="24">
        <f>SUMIF(Journal[date],SommeParJours!A14,Journal[Temps])</f>
        <v>0</v>
      </c>
      <c r="C14"/>
    </row>
    <row r="15" spans="1:3" x14ac:dyDescent="0.3">
      <c r="A15" s="17"/>
      <c r="B15" s="24">
        <f>SUMIF(Journal[date],SommeParJours!A15,Journal[Temps])</f>
        <v>0</v>
      </c>
      <c r="C15"/>
    </row>
    <row r="16" spans="1:3" x14ac:dyDescent="0.3">
      <c r="A16" s="17"/>
      <c r="B16" s="24">
        <f>SUMIF(Journal[date],SommeParJours!A16,Journal[Temps])</f>
        <v>0</v>
      </c>
      <c r="C16"/>
    </row>
    <row r="17" spans="1:6" x14ac:dyDescent="0.3">
      <c r="A17" s="17"/>
      <c r="B17" s="24">
        <f>SUMIF(Journal[date],SommeParJours!A17,Journal[Temps])</f>
        <v>0</v>
      </c>
      <c r="C17"/>
    </row>
    <row r="18" spans="1:6" x14ac:dyDescent="0.3">
      <c r="A18" s="17"/>
      <c r="B18" s="24">
        <f>SUMIF(Journal[date],SommeParJours!A18,Journal[Temps])</f>
        <v>0</v>
      </c>
      <c r="C18"/>
    </row>
    <row r="19" spans="1:6" x14ac:dyDescent="0.3">
      <c r="A19" s="17"/>
      <c r="B19" s="24">
        <f>SUMIF(Journal[date],SommeParJours!A19,Journal[Temps])</f>
        <v>0</v>
      </c>
      <c r="C19"/>
    </row>
    <row r="20" spans="1:6" x14ac:dyDescent="0.3">
      <c r="A20" s="17"/>
      <c r="B20" s="24">
        <f>SUMIF(Journal[date],SommeParJours!A20,Journal[Temps])</f>
        <v>0</v>
      </c>
      <c r="C20"/>
    </row>
    <row r="21" spans="1:6" x14ac:dyDescent="0.3">
      <c r="A21" s="17"/>
      <c r="B21" s="24">
        <f>SUMIF(Journal[date],SommeParJours!A21,Journal[Temps])</f>
        <v>0</v>
      </c>
      <c r="C21"/>
    </row>
    <row r="22" spans="1:6" x14ac:dyDescent="0.3">
      <c r="A22" s="17"/>
      <c r="B22" s="24">
        <f>SUMIF(Journal[date],SommeParJours!A22,Journal[Temps])</f>
        <v>0</v>
      </c>
      <c r="C22"/>
    </row>
    <row r="23" spans="1:6" x14ac:dyDescent="0.3">
      <c r="A23" s="17"/>
      <c r="B23" s="24">
        <f>SUMIF(Journal[date],SommeParJours!A23,Journal[Temps])</f>
        <v>0</v>
      </c>
      <c r="C23"/>
    </row>
    <row r="24" spans="1:6" x14ac:dyDescent="0.3">
      <c r="A24" s="17"/>
      <c r="B24" s="24">
        <f>SUMIF(Journal[date],SommeParJours!A24,Journal[Temps])</f>
        <v>0</v>
      </c>
      <c r="C24"/>
    </row>
    <row r="25" spans="1:6" x14ac:dyDescent="0.3">
      <c r="A25" s="17"/>
      <c r="B25" s="24">
        <f>SUMIF(Journal[date],SommeParJours!A25,Journal[Temps])</f>
        <v>0</v>
      </c>
      <c r="C25"/>
      <c r="F25" s="25"/>
    </row>
    <row r="26" spans="1:6" x14ac:dyDescent="0.3">
      <c r="A26" s="17"/>
      <c r="B26" s="24">
        <f>SUMIF(Journal[date],SommeParJours!A26,Journal[Temps])</f>
        <v>0</v>
      </c>
      <c r="C26" s="26">
        <f>SUMIF(Journal[date],SommeParJours!A26,Journal[Temps])</f>
        <v>0</v>
      </c>
    </row>
    <row r="27" spans="1:6" x14ac:dyDescent="0.3">
      <c r="A27" s="17"/>
      <c r="B27" s="24">
        <f>SUMIF(Journal[date],SommeParJours!A27,Journal[Temps])</f>
        <v>0</v>
      </c>
      <c r="C27" s="26">
        <f>SUMIF(Journal[date],SommeParJours!A27,Journal[Temps])</f>
        <v>0</v>
      </c>
    </row>
    <row r="28" spans="1:6" x14ac:dyDescent="0.3">
      <c r="A28" s="17"/>
      <c r="C28" s="26">
        <f>SUMIF(Journal[date],SommeParJours!A28,Journal[Temps])</f>
        <v>0</v>
      </c>
    </row>
    <row r="29" spans="1:6" x14ac:dyDescent="0.3">
      <c r="A29" s="17"/>
      <c r="C29" s="26">
        <f>SUMIF(Journal[date],SommeParJours!A29,Journal[Temps])</f>
        <v>0</v>
      </c>
    </row>
    <row r="30" spans="1:6" x14ac:dyDescent="0.3">
      <c r="A30" s="17"/>
      <c r="C30" s="26">
        <f>SUMIF(Journal[date],SommeParJours!A30,Journal[Temps])</f>
        <v>0</v>
      </c>
    </row>
    <row r="31" spans="1:6" x14ac:dyDescent="0.3">
      <c r="A31" s="17"/>
      <c r="C31" s="26">
        <f>SUMIF(Journal[date],SommeParJours!A31,Journal[Temps])</f>
        <v>0</v>
      </c>
    </row>
    <row r="32" spans="1:6" x14ac:dyDescent="0.3">
      <c r="A32" s="17"/>
      <c r="C32" s="26">
        <f>SUMIF(Journal[date],SommeParJours!A32,Journal[Temps])</f>
        <v>0</v>
      </c>
    </row>
    <row r="33" spans="1:3" x14ac:dyDescent="0.3">
      <c r="A33" s="17"/>
      <c r="C33" s="26">
        <f>SUMIF(Journal[date],SommeParJours!A33,Journal[Temps])</f>
        <v>0</v>
      </c>
    </row>
    <row r="34" spans="1:3" x14ac:dyDescent="0.3">
      <c r="A34" s="17"/>
      <c r="C34" s="26">
        <f>SUMIF(Journal[date],SommeParJours!A34,Journal[Temps])</f>
        <v>0</v>
      </c>
    </row>
    <row r="35" spans="1:3" x14ac:dyDescent="0.3">
      <c r="A35" s="17"/>
      <c r="C35" s="26">
        <f>SUMIF(Journal[date],SommeParJours!A35,Journal[Temps])</f>
        <v>0</v>
      </c>
    </row>
    <row r="36" spans="1:3" x14ac:dyDescent="0.3">
      <c r="A36" s="17"/>
      <c r="C36" s="26">
        <f>SUMIF(Journal[date],SommeParJours!A36,Journal[Temps])</f>
        <v>0</v>
      </c>
    </row>
    <row r="37" spans="1:3" x14ac:dyDescent="0.3">
      <c r="A37" s="17"/>
      <c r="C37" s="26">
        <f>SUMIF(Journal[date],SommeParJours!A37,Journal[Temps])</f>
        <v>0</v>
      </c>
    </row>
    <row r="38" spans="1:3" x14ac:dyDescent="0.3">
      <c r="A38" s="17"/>
      <c r="C38" s="26">
        <f>SUMIF(Journal[date],SommeParJours!A38,Journal[Temps])</f>
        <v>0</v>
      </c>
    </row>
    <row r="39" spans="1:3" x14ac:dyDescent="0.3">
      <c r="A39" s="17"/>
      <c r="C39" s="26">
        <f>SUMIF(Journal[date],SommeParJours!A39,Journal[Temps])</f>
        <v>0</v>
      </c>
    </row>
    <row r="40" spans="1:3" x14ac:dyDescent="0.3">
      <c r="A40" s="17"/>
      <c r="B40" s="24" t="str">
        <f t="shared" ref="B40:B103" si="0">IF(C40&gt;0,C40,"")</f>
        <v/>
      </c>
      <c r="C40" s="26">
        <f>SUMIF(Journal[date],SommeParJours!A40,Journal[Temps])</f>
        <v>0</v>
      </c>
    </row>
    <row r="41" spans="1:3" x14ac:dyDescent="0.3">
      <c r="A41" s="17"/>
      <c r="B41" s="24" t="str">
        <f t="shared" si="0"/>
        <v/>
      </c>
      <c r="C41" s="26">
        <f>SUMIF(Journal[date],SommeParJours!A41,Journal[Temps])</f>
        <v>0</v>
      </c>
    </row>
    <row r="42" spans="1:3" x14ac:dyDescent="0.3">
      <c r="A42" s="27"/>
      <c r="B42" s="24" t="str">
        <f t="shared" si="0"/>
        <v/>
      </c>
      <c r="C42" s="26">
        <f>SUMIF(Journal[date],SommeParJours!A42,Journal[Temps])</f>
        <v>0</v>
      </c>
    </row>
    <row r="43" spans="1:3" x14ac:dyDescent="0.3">
      <c r="A43" s="27"/>
      <c r="B43" s="24" t="str">
        <f t="shared" si="0"/>
        <v/>
      </c>
      <c r="C43" s="26">
        <f>SUMIF(Journal[date],SommeParJours!A43,Journal[Temps])</f>
        <v>0</v>
      </c>
    </row>
    <row r="44" spans="1:3" x14ac:dyDescent="0.3">
      <c r="A44" s="27"/>
      <c r="B44" s="24" t="str">
        <f t="shared" si="0"/>
        <v/>
      </c>
      <c r="C44" s="26">
        <f>SUMIF(Journal[date],SommeParJours!A44,Journal[Temps])</f>
        <v>0</v>
      </c>
    </row>
    <row r="45" spans="1:3" x14ac:dyDescent="0.3">
      <c r="A45" s="27"/>
      <c r="B45" s="24" t="str">
        <f t="shared" si="0"/>
        <v/>
      </c>
      <c r="C45" s="26">
        <f>SUMIF(Journal[date],SommeParJours!A45,Journal[Temps])</f>
        <v>0</v>
      </c>
    </row>
    <row r="46" spans="1:3" x14ac:dyDescent="0.3">
      <c r="A46" s="27"/>
      <c r="B46" s="24" t="str">
        <f t="shared" si="0"/>
        <v/>
      </c>
      <c r="C46" s="26">
        <f>SUMIF(Journal[date],SommeParJours!A46,Journal[Temps])</f>
        <v>0</v>
      </c>
    </row>
    <row r="47" spans="1:3" x14ac:dyDescent="0.3">
      <c r="A47" s="28"/>
      <c r="B47" s="24" t="str">
        <f t="shared" si="0"/>
        <v/>
      </c>
      <c r="C47" s="26">
        <f>SUMIF(Journal[date],SommeParJours!A47,Journal[Temps])</f>
        <v>0</v>
      </c>
    </row>
    <row r="48" spans="1:3" x14ac:dyDescent="0.3">
      <c r="A48" s="28"/>
      <c r="B48" s="24" t="str">
        <f t="shared" si="0"/>
        <v/>
      </c>
      <c r="C48" s="26">
        <f>SUMIF(Journal[date],SommeParJours!A48,Journal[Temps])</f>
        <v>0</v>
      </c>
    </row>
    <row r="49" spans="1:3" x14ac:dyDescent="0.3">
      <c r="A49" s="28"/>
      <c r="B49" s="24" t="str">
        <f t="shared" si="0"/>
        <v/>
      </c>
      <c r="C49" s="26">
        <f>SUMIF(Journal[date],SommeParJours!A49,Journal[Temps])</f>
        <v>0</v>
      </c>
    </row>
    <row r="50" spans="1:3" x14ac:dyDescent="0.3">
      <c r="A50" s="28"/>
      <c r="B50" s="24" t="str">
        <f t="shared" si="0"/>
        <v/>
      </c>
      <c r="C50" s="26">
        <f>SUMIF(Journal[date],SommeParJours!A50,Journal[Temps])</f>
        <v>0</v>
      </c>
    </row>
    <row r="51" spans="1:3" x14ac:dyDescent="0.3">
      <c r="A51" s="28"/>
      <c r="B51" s="24" t="str">
        <f t="shared" si="0"/>
        <v/>
      </c>
      <c r="C51" s="26">
        <f>SUMIF(Journal[date],SommeParJours!A51,Journal[Temps])</f>
        <v>0</v>
      </c>
    </row>
    <row r="52" spans="1:3" x14ac:dyDescent="0.3">
      <c r="A52" s="28"/>
      <c r="B52" s="24" t="str">
        <f t="shared" si="0"/>
        <v/>
      </c>
      <c r="C52" s="26">
        <f>SUMIF(Journal[date],SommeParJours!A52,Journal[Temps])</f>
        <v>0</v>
      </c>
    </row>
    <row r="53" spans="1:3" x14ac:dyDescent="0.3">
      <c r="A53" s="28"/>
      <c r="B53" s="24" t="str">
        <f t="shared" si="0"/>
        <v/>
      </c>
      <c r="C53" s="26">
        <f>SUMIF(Journal[date],SommeParJours!A53,Journal[Temps])</f>
        <v>0</v>
      </c>
    </row>
    <row r="54" spans="1:3" x14ac:dyDescent="0.3">
      <c r="A54" s="28"/>
      <c r="B54" s="24" t="str">
        <f t="shared" si="0"/>
        <v/>
      </c>
      <c r="C54" s="26">
        <f>SUMIF(Journal[date],SommeParJours!A54,Journal[Temps])</f>
        <v>0</v>
      </c>
    </row>
    <row r="55" spans="1:3" x14ac:dyDescent="0.3">
      <c r="A55" s="28"/>
      <c r="B55" s="24" t="str">
        <f t="shared" si="0"/>
        <v/>
      </c>
      <c r="C55" s="26">
        <f>SUMIF(Journal[date],SommeParJours!A55,Journal[Temps])</f>
        <v>0</v>
      </c>
    </row>
    <row r="56" spans="1:3" x14ac:dyDescent="0.3">
      <c r="A56" s="28"/>
      <c r="B56" s="24" t="str">
        <f t="shared" si="0"/>
        <v/>
      </c>
      <c r="C56" s="26">
        <f>SUMIF(Journal[date],SommeParJours!A56,Journal[Temps])</f>
        <v>0</v>
      </c>
    </row>
    <row r="57" spans="1:3" x14ac:dyDescent="0.3">
      <c r="A57" s="28"/>
      <c r="B57" s="24" t="str">
        <f t="shared" si="0"/>
        <v/>
      </c>
      <c r="C57" s="26">
        <f>SUMIF(Journal[date],SommeParJours!A57,Journal[Temps])</f>
        <v>0</v>
      </c>
    </row>
    <row r="58" spans="1:3" x14ac:dyDescent="0.3">
      <c r="A58" s="28"/>
      <c r="B58" s="24" t="str">
        <f t="shared" si="0"/>
        <v/>
      </c>
      <c r="C58" s="26">
        <f>SUMIF(Journal[date],SommeParJours!A58,Journal[Temps])</f>
        <v>0</v>
      </c>
    </row>
    <row r="59" spans="1:3" x14ac:dyDescent="0.3">
      <c r="A59" s="28"/>
      <c r="B59" s="24" t="str">
        <f t="shared" si="0"/>
        <v/>
      </c>
      <c r="C59" s="26">
        <f>SUMIF(Journal[date],SommeParJours!A59,Journal[Temps])</f>
        <v>0</v>
      </c>
    </row>
    <row r="60" spans="1:3" x14ac:dyDescent="0.3">
      <c r="A60" s="28"/>
      <c r="B60" s="24" t="str">
        <f t="shared" si="0"/>
        <v/>
      </c>
      <c r="C60" s="26">
        <f>SUMIF(Journal[date],SommeParJours!A60,Journal[Temps])</f>
        <v>0</v>
      </c>
    </row>
    <row r="61" spans="1:3" x14ac:dyDescent="0.3">
      <c r="A61" s="28"/>
      <c r="B61" s="24" t="str">
        <f t="shared" si="0"/>
        <v/>
      </c>
      <c r="C61" s="26">
        <f>SUMIF(Journal[date],SommeParJours!A61,Journal[Temps])</f>
        <v>0</v>
      </c>
    </row>
    <row r="62" spans="1:3" x14ac:dyDescent="0.3">
      <c r="A62" s="28"/>
      <c r="B62" s="24" t="str">
        <f t="shared" si="0"/>
        <v/>
      </c>
      <c r="C62" s="26">
        <f>SUMIF(Journal[date],SommeParJours!A62,Journal[Temps])</f>
        <v>0</v>
      </c>
    </row>
    <row r="63" spans="1:3" x14ac:dyDescent="0.3">
      <c r="A63" s="28"/>
      <c r="B63" s="24" t="str">
        <f t="shared" si="0"/>
        <v/>
      </c>
      <c r="C63" s="26">
        <f>SUMIF(Journal[date],SommeParJours!A63,Journal[Temps])</f>
        <v>0</v>
      </c>
    </row>
    <row r="64" spans="1:3" x14ac:dyDescent="0.3">
      <c r="A64" s="28"/>
      <c r="B64" s="24" t="str">
        <f t="shared" si="0"/>
        <v/>
      </c>
      <c r="C64" s="26">
        <f>SUMIF(Journal[date],SommeParJours!A64,Journal[Temps])</f>
        <v>0</v>
      </c>
    </row>
    <row r="65" spans="1:3" x14ac:dyDescent="0.3">
      <c r="A65" s="28"/>
      <c r="B65" s="24" t="str">
        <f t="shared" si="0"/>
        <v/>
      </c>
      <c r="C65" s="26">
        <f>SUMIF(Journal[date],SommeParJours!A65,Journal[Temps])</f>
        <v>0</v>
      </c>
    </row>
    <row r="66" spans="1:3" x14ac:dyDescent="0.3">
      <c r="A66" s="28"/>
      <c r="B66" s="24" t="str">
        <f t="shared" si="0"/>
        <v/>
      </c>
      <c r="C66" s="26">
        <f>SUMIF(Journal[date],SommeParJours!A66,Journal[Temps])</f>
        <v>0</v>
      </c>
    </row>
    <row r="67" spans="1:3" x14ac:dyDescent="0.3">
      <c r="A67" s="28"/>
      <c r="B67" s="24" t="str">
        <f t="shared" si="0"/>
        <v/>
      </c>
      <c r="C67" s="26">
        <f>SUMIF(Journal[date],SommeParJours!A67,Journal[Temps])</f>
        <v>0</v>
      </c>
    </row>
    <row r="68" spans="1:3" x14ac:dyDescent="0.3">
      <c r="A68" s="28"/>
      <c r="B68" s="24" t="str">
        <f t="shared" si="0"/>
        <v/>
      </c>
      <c r="C68" s="26">
        <f>SUMIF(Journal[date],SommeParJours!A68,Journal[Temps])</f>
        <v>0</v>
      </c>
    </row>
    <row r="69" spans="1:3" x14ac:dyDescent="0.3">
      <c r="A69" s="28"/>
      <c r="B69" s="24" t="str">
        <f t="shared" si="0"/>
        <v/>
      </c>
      <c r="C69" s="26">
        <f>SUMIF(Journal[date],SommeParJours!A69,Journal[Temps])</f>
        <v>0</v>
      </c>
    </row>
    <row r="70" spans="1:3" x14ac:dyDescent="0.3">
      <c r="A70" s="28"/>
      <c r="B70" s="24" t="str">
        <f t="shared" si="0"/>
        <v/>
      </c>
      <c r="C70" s="26">
        <f>SUMIF(Journal[date],SommeParJours!A70,Journal[Temps])</f>
        <v>0</v>
      </c>
    </row>
    <row r="71" spans="1:3" x14ac:dyDescent="0.3">
      <c r="A71" s="28"/>
      <c r="B71" s="24" t="str">
        <f t="shared" si="0"/>
        <v/>
      </c>
      <c r="C71" s="26">
        <f>SUMIF(Journal[date],SommeParJours!A71,Journal[Temps])</f>
        <v>0</v>
      </c>
    </row>
    <row r="72" spans="1:3" x14ac:dyDescent="0.3">
      <c r="A72" s="28"/>
      <c r="B72" s="24" t="str">
        <f t="shared" si="0"/>
        <v/>
      </c>
      <c r="C72" s="26">
        <f>SUMIF(Journal[date],SommeParJours!A72,Journal[Temps])</f>
        <v>0</v>
      </c>
    </row>
    <row r="73" spans="1:3" x14ac:dyDescent="0.3">
      <c r="A73" s="28"/>
      <c r="B73" s="24" t="str">
        <f t="shared" si="0"/>
        <v/>
      </c>
      <c r="C73" s="26">
        <f>SUMIF(Journal[date],SommeParJours!A73,Journal[Temps])</f>
        <v>0</v>
      </c>
    </row>
    <row r="74" spans="1:3" x14ac:dyDescent="0.3">
      <c r="A74" s="28"/>
      <c r="B74" s="24" t="str">
        <f t="shared" si="0"/>
        <v/>
      </c>
      <c r="C74" s="26">
        <f>SUMIF(Journal[date],SommeParJours!A74,Journal[Temps])</f>
        <v>0</v>
      </c>
    </row>
    <row r="75" spans="1:3" x14ac:dyDescent="0.3">
      <c r="A75" s="28"/>
      <c r="B75" s="24" t="str">
        <f t="shared" si="0"/>
        <v/>
      </c>
      <c r="C75" s="26">
        <f>SUMIF(Journal[date],SommeParJours!A75,Journal[Temps])</f>
        <v>0</v>
      </c>
    </row>
    <row r="76" spans="1:3" x14ac:dyDescent="0.3">
      <c r="A76" s="28"/>
      <c r="B76" s="24" t="str">
        <f t="shared" si="0"/>
        <v/>
      </c>
      <c r="C76" s="26">
        <f>SUMIF(Journal[date],SommeParJours!A76,Journal[Temps])</f>
        <v>0</v>
      </c>
    </row>
    <row r="77" spans="1:3" x14ac:dyDescent="0.3">
      <c r="A77" s="28"/>
      <c r="B77" s="24" t="str">
        <f t="shared" si="0"/>
        <v/>
      </c>
      <c r="C77" s="26">
        <f>SUMIF(Journal[date],SommeParJours!A77,Journal[Temps])</f>
        <v>0</v>
      </c>
    </row>
    <row r="78" spans="1:3" x14ac:dyDescent="0.3">
      <c r="A78" s="28"/>
      <c r="B78" s="24" t="str">
        <f t="shared" si="0"/>
        <v/>
      </c>
      <c r="C78" s="26">
        <f>SUMIF(Journal[date],SommeParJours!A78,Journal[Temps])</f>
        <v>0</v>
      </c>
    </row>
    <row r="79" spans="1:3" x14ac:dyDescent="0.3">
      <c r="A79" s="28"/>
      <c r="B79" s="24" t="str">
        <f t="shared" si="0"/>
        <v/>
      </c>
      <c r="C79" s="26">
        <f>SUMIF(Journal[date],SommeParJours!A79,Journal[Temps])</f>
        <v>0</v>
      </c>
    </row>
    <row r="80" spans="1:3" x14ac:dyDescent="0.3">
      <c r="A80" s="28"/>
      <c r="B80" s="24" t="str">
        <f t="shared" si="0"/>
        <v/>
      </c>
      <c r="C80" s="26">
        <f>SUMIF(Journal[date],SommeParJours!A80,Journal[Temps])</f>
        <v>0</v>
      </c>
    </row>
    <row r="81" spans="1:3" x14ac:dyDescent="0.3">
      <c r="A81" s="28"/>
      <c r="B81" s="24" t="str">
        <f t="shared" si="0"/>
        <v/>
      </c>
      <c r="C81" s="26">
        <f>SUMIF(Journal[date],SommeParJours!A81,Journal[Temps])</f>
        <v>0</v>
      </c>
    </row>
    <row r="82" spans="1:3" x14ac:dyDescent="0.3">
      <c r="A82" s="28"/>
      <c r="B82" s="24" t="str">
        <f t="shared" si="0"/>
        <v/>
      </c>
      <c r="C82" s="26">
        <f>SUMIF(Journal[date],SommeParJours!A82,Journal[Temps])</f>
        <v>0</v>
      </c>
    </row>
    <row r="83" spans="1:3" x14ac:dyDescent="0.3">
      <c r="A83" s="28"/>
      <c r="B83" s="24" t="str">
        <f t="shared" si="0"/>
        <v/>
      </c>
      <c r="C83" s="26">
        <f>SUMIF(Journal[date],SommeParJours!A83,Journal[Temps])</f>
        <v>0</v>
      </c>
    </row>
    <row r="84" spans="1:3" x14ac:dyDescent="0.3">
      <c r="A84" s="28"/>
      <c r="B84" s="24" t="str">
        <f t="shared" si="0"/>
        <v/>
      </c>
      <c r="C84" s="26">
        <f>SUMIF(Journal[date],SommeParJours!A84,Journal[Temps])</f>
        <v>0</v>
      </c>
    </row>
    <row r="85" spans="1:3" x14ac:dyDescent="0.3">
      <c r="A85" s="28"/>
      <c r="B85" s="24" t="str">
        <f t="shared" si="0"/>
        <v/>
      </c>
      <c r="C85" s="26">
        <f>SUMIF(Journal[date],SommeParJours!A85,Journal[Temps])</f>
        <v>0</v>
      </c>
    </row>
    <row r="86" spans="1:3" x14ac:dyDescent="0.3">
      <c r="A86" s="28"/>
      <c r="B86" s="24" t="str">
        <f t="shared" si="0"/>
        <v/>
      </c>
      <c r="C86" s="26">
        <f>SUMIF(Journal[date],SommeParJours!A86,Journal[Temps])</f>
        <v>0</v>
      </c>
    </row>
    <row r="87" spans="1:3" x14ac:dyDescent="0.3">
      <c r="A87" s="28"/>
      <c r="B87" s="24" t="str">
        <f t="shared" si="0"/>
        <v/>
      </c>
      <c r="C87" s="26">
        <f>SUMIF(Journal[date],SommeParJours!A87,Journal[Temps])</f>
        <v>0</v>
      </c>
    </row>
    <row r="88" spans="1:3" x14ac:dyDescent="0.3">
      <c r="A88" s="28"/>
      <c r="B88" s="24" t="str">
        <f t="shared" si="0"/>
        <v/>
      </c>
      <c r="C88" s="26">
        <f>SUMIF(Journal[date],SommeParJours!A88,Journal[Temps])</f>
        <v>0</v>
      </c>
    </row>
    <row r="89" spans="1:3" x14ac:dyDescent="0.3">
      <c r="A89" s="28"/>
      <c r="B89" s="24" t="str">
        <f t="shared" si="0"/>
        <v/>
      </c>
      <c r="C89" s="26">
        <f>SUMIF(Journal[date],SommeParJours!A89,Journal[Temps])</f>
        <v>0</v>
      </c>
    </row>
    <row r="90" spans="1:3" x14ac:dyDescent="0.3">
      <c r="A90" s="28"/>
      <c r="B90" s="24" t="str">
        <f t="shared" si="0"/>
        <v/>
      </c>
      <c r="C90" s="26">
        <f>SUMIF(Journal[date],SommeParJours!A90,Journal[Temps])</f>
        <v>0</v>
      </c>
    </row>
    <row r="91" spans="1:3" x14ac:dyDescent="0.3">
      <c r="A91" s="28"/>
      <c r="B91" s="24" t="str">
        <f t="shared" si="0"/>
        <v/>
      </c>
      <c r="C91" s="26">
        <f>SUMIF(Journal[date],SommeParJours!A91,Journal[Temps])</f>
        <v>0</v>
      </c>
    </row>
    <row r="92" spans="1:3" x14ac:dyDescent="0.3">
      <c r="A92" s="28"/>
      <c r="B92" s="24" t="str">
        <f t="shared" si="0"/>
        <v/>
      </c>
      <c r="C92" s="26">
        <f>SUMIF(Journal[date],SommeParJours!A92,Journal[Temps])</f>
        <v>0</v>
      </c>
    </row>
    <row r="93" spans="1:3" x14ac:dyDescent="0.3">
      <c r="A93" s="28"/>
      <c r="B93" s="24" t="str">
        <f t="shared" si="0"/>
        <v/>
      </c>
      <c r="C93" s="26">
        <f>SUMIF(Journal[date],SommeParJours!A93,Journal[Temps])</f>
        <v>0</v>
      </c>
    </row>
    <row r="94" spans="1:3" x14ac:dyDescent="0.3">
      <c r="A94" s="28"/>
      <c r="B94" s="24" t="str">
        <f t="shared" si="0"/>
        <v/>
      </c>
      <c r="C94" s="26">
        <f>SUMIF(Journal[date],SommeParJours!A94,Journal[Temps])</f>
        <v>0</v>
      </c>
    </row>
    <row r="95" spans="1:3" x14ac:dyDescent="0.3">
      <c r="A95" s="28"/>
      <c r="B95" s="24" t="str">
        <f t="shared" si="0"/>
        <v/>
      </c>
      <c r="C95" s="26">
        <f>SUMIF(Journal[date],SommeParJours!A95,Journal[Temps])</f>
        <v>0</v>
      </c>
    </row>
    <row r="96" spans="1:3" x14ac:dyDescent="0.3">
      <c r="A96" s="28"/>
      <c r="B96" s="24" t="str">
        <f t="shared" si="0"/>
        <v/>
      </c>
      <c r="C96" s="26">
        <f>SUMIF(Journal[date],SommeParJours!A96,Journal[Temps])</f>
        <v>0</v>
      </c>
    </row>
    <row r="97" spans="1:3" x14ac:dyDescent="0.3">
      <c r="A97" s="28"/>
      <c r="B97" s="24" t="str">
        <f t="shared" si="0"/>
        <v/>
      </c>
      <c r="C97" s="26">
        <f>SUMIF(Journal[date],SommeParJours!A97,Journal[Temps])</f>
        <v>0</v>
      </c>
    </row>
    <row r="98" spans="1:3" x14ac:dyDescent="0.3">
      <c r="A98" s="28"/>
      <c r="B98" s="24" t="str">
        <f t="shared" si="0"/>
        <v/>
      </c>
      <c r="C98" s="26">
        <f>SUMIF(Journal[date],SommeParJours!A98,Journal[Temps])</f>
        <v>0</v>
      </c>
    </row>
    <row r="99" spans="1:3" x14ac:dyDescent="0.3">
      <c r="A99" s="28"/>
      <c r="B99" s="24" t="str">
        <f t="shared" si="0"/>
        <v/>
      </c>
      <c r="C99" s="26">
        <f>SUMIF(Journal[date],SommeParJours!A99,Journal[Temps])</f>
        <v>0</v>
      </c>
    </row>
    <row r="100" spans="1:3" x14ac:dyDescent="0.3">
      <c r="A100" s="28"/>
      <c r="B100" s="24" t="str">
        <f t="shared" si="0"/>
        <v/>
      </c>
      <c r="C100" s="26">
        <f>SUMIF(Journal[date],SommeParJours!A100,Journal[Temps])</f>
        <v>0</v>
      </c>
    </row>
    <row r="101" spans="1:3" x14ac:dyDescent="0.3">
      <c r="A101" s="28"/>
      <c r="B101" s="24" t="str">
        <f t="shared" si="0"/>
        <v/>
      </c>
      <c r="C101" s="26">
        <f>SUMIF(Journal[date],SommeParJours!A101,Journal[Temps])</f>
        <v>0</v>
      </c>
    </row>
    <row r="102" spans="1:3" x14ac:dyDescent="0.3">
      <c r="A102" s="28"/>
      <c r="B102" s="24" t="str">
        <f t="shared" si="0"/>
        <v/>
      </c>
      <c r="C102" s="26">
        <f>SUMIF(Journal[date],SommeParJours!A102,Journal[Temps])</f>
        <v>0</v>
      </c>
    </row>
    <row r="103" spans="1:3" x14ac:dyDescent="0.3">
      <c r="A103" s="28"/>
      <c r="B103" s="24" t="str">
        <f t="shared" si="0"/>
        <v/>
      </c>
      <c r="C103" s="26">
        <f>SUMIF(Journal[date],SommeParJours!A103,Journal[Temps])</f>
        <v>0</v>
      </c>
    </row>
    <row r="104" spans="1:3" x14ac:dyDescent="0.3">
      <c r="A104" s="28"/>
      <c r="B104" s="24" t="str">
        <f t="shared" ref="B104:B114" si="1">IF(C104&gt;0,C104,"")</f>
        <v/>
      </c>
      <c r="C104" s="26">
        <f>SUMIF(Journal[date],SommeParJours!A104,Journal[Temps])</f>
        <v>0</v>
      </c>
    </row>
    <row r="105" spans="1:3" x14ac:dyDescent="0.3">
      <c r="A105" s="28"/>
      <c r="B105" s="24" t="str">
        <f t="shared" si="1"/>
        <v/>
      </c>
      <c r="C105" s="26">
        <f>SUMIF(Journal[date],SommeParJours!A105,Journal[Temps])</f>
        <v>0</v>
      </c>
    </row>
    <row r="106" spans="1:3" x14ac:dyDescent="0.3">
      <c r="A106" s="28"/>
      <c r="B106" s="24" t="str">
        <f t="shared" si="1"/>
        <v/>
      </c>
      <c r="C106" s="26">
        <f>SUMIF(Journal[date],SommeParJours!A106,Journal[Temps])</f>
        <v>0</v>
      </c>
    </row>
    <row r="107" spans="1:3" x14ac:dyDescent="0.3">
      <c r="A107" s="28"/>
      <c r="B107" s="24" t="str">
        <f t="shared" si="1"/>
        <v/>
      </c>
      <c r="C107" s="26">
        <f>SUMIF(Journal[date],SommeParJours!A107,Journal[Temps])</f>
        <v>0</v>
      </c>
    </row>
    <row r="108" spans="1:3" x14ac:dyDescent="0.3">
      <c r="A108" s="28"/>
      <c r="B108" s="24" t="str">
        <f t="shared" si="1"/>
        <v/>
      </c>
      <c r="C108" s="26">
        <f>SUMIF(Journal[date],SommeParJours!A108,Journal[Temps])</f>
        <v>0</v>
      </c>
    </row>
    <row r="109" spans="1:3" x14ac:dyDescent="0.3">
      <c r="A109" s="28"/>
      <c r="B109" s="24" t="str">
        <f t="shared" si="1"/>
        <v/>
      </c>
      <c r="C109" s="26">
        <f>SUMIF(Journal[date],SommeParJours!A109,Journal[Temps])</f>
        <v>0</v>
      </c>
    </row>
    <row r="110" spans="1:3" x14ac:dyDescent="0.3">
      <c r="A110" s="28"/>
      <c r="B110" s="24" t="str">
        <f t="shared" si="1"/>
        <v/>
      </c>
      <c r="C110" s="26">
        <f>SUMIF(Journal[date],SommeParJours!A110,Journal[Temps])</f>
        <v>0</v>
      </c>
    </row>
    <row r="111" spans="1:3" x14ac:dyDescent="0.3">
      <c r="A111" s="28"/>
      <c r="B111" s="24" t="str">
        <f t="shared" si="1"/>
        <v/>
      </c>
      <c r="C111" s="26">
        <f>SUMIF(Journal[date],SommeParJours!A111,Journal[Temps])</f>
        <v>0</v>
      </c>
    </row>
    <row r="112" spans="1:3" x14ac:dyDescent="0.3">
      <c r="A112" s="28"/>
      <c r="B112" s="24" t="str">
        <f t="shared" si="1"/>
        <v/>
      </c>
      <c r="C112" s="26">
        <f>SUMIF(Journal[date],SommeParJours!A112,Journal[Temps])</f>
        <v>0</v>
      </c>
    </row>
    <row r="113" spans="1:3" x14ac:dyDescent="0.3">
      <c r="A113" s="28"/>
      <c r="B113" s="24" t="str">
        <f t="shared" si="1"/>
        <v/>
      </c>
      <c r="C113" s="26">
        <f>SUMIF(Journal[date],SommeParJours!A113,Journal[Temps])</f>
        <v>0</v>
      </c>
    </row>
    <row r="114" spans="1:3" x14ac:dyDescent="0.3">
      <c r="A114" s="28"/>
      <c r="B114" s="24" t="str">
        <f t="shared" si="1"/>
        <v/>
      </c>
      <c r="C114" s="26">
        <f>SUMIF(Journal[date],SommeParJours!A114,Journal[Temps])</f>
        <v>0</v>
      </c>
    </row>
    <row r="115" spans="1:3" x14ac:dyDescent="0.3">
      <c r="A115" s="28"/>
      <c r="B115" s="28"/>
      <c r="C115" s="26"/>
    </row>
    <row r="116" spans="1:3" x14ac:dyDescent="0.3">
      <c r="A116" s="28"/>
      <c r="B116" s="28"/>
      <c r="C116" s="26"/>
    </row>
    <row r="117" spans="1:3" x14ac:dyDescent="0.3">
      <c r="A117" s="28"/>
      <c r="B117" s="28"/>
      <c r="C117" s="26"/>
    </row>
    <row r="118" spans="1:3" x14ac:dyDescent="0.3">
      <c r="A118" s="28"/>
      <c r="B118" s="28"/>
      <c r="C118" s="26"/>
    </row>
    <row r="119" spans="1:3" x14ac:dyDescent="0.3">
      <c r="A119" s="28"/>
      <c r="B119" s="28"/>
      <c r="C119" s="26"/>
    </row>
    <row r="120" spans="1:3" x14ac:dyDescent="0.3">
      <c r="A120" s="28"/>
      <c r="B120" s="28"/>
      <c r="C120" s="26"/>
    </row>
    <row r="121" spans="1:3" x14ac:dyDescent="0.3">
      <c r="A121" s="28"/>
      <c r="B121" s="28"/>
      <c r="C121" s="26"/>
    </row>
    <row r="122" spans="1:3" x14ac:dyDescent="0.3">
      <c r="A122" s="28"/>
      <c r="B122" s="28"/>
      <c r="C122" s="26"/>
    </row>
    <row r="123" spans="1:3" x14ac:dyDescent="0.3">
      <c r="A123" s="28"/>
      <c r="B123" s="28"/>
      <c r="C123" s="26"/>
    </row>
    <row r="124" spans="1:3" x14ac:dyDescent="0.3">
      <c r="A124" s="28"/>
      <c r="B124" s="28"/>
      <c r="C124" s="26"/>
    </row>
    <row r="125" spans="1:3" x14ac:dyDescent="0.3">
      <c r="A125" s="28"/>
      <c r="B125" s="28"/>
      <c r="C125" s="26"/>
    </row>
    <row r="126" spans="1:3" x14ac:dyDescent="0.3">
      <c r="A126" s="28"/>
      <c r="B126" s="28"/>
      <c r="C126" s="26"/>
    </row>
    <row r="127" spans="1:3" x14ac:dyDescent="0.3">
      <c r="A127" s="28"/>
      <c r="B127" s="28"/>
      <c r="C127" s="26"/>
    </row>
    <row r="128" spans="1:3" x14ac:dyDescent="0.3">
      <c r="A128" s="28"/>
      <c r="B128" s="28"/>
      <c r="C128" s="26"/>
    </row>
    <row r="129" spans="1:3" x14ac:dyDescent="0.3">
      <c r="A129" s="28"/>
      <c r="B129" s="28"/>
      <c r="C129" s="26"/>
    </row>
    <row r="130" spans="1:3" x14ac:dyDescent="0.3">
      <c r="A130" s="28"/>
      <c r="B130" s="28"/>
      <c r="C130" s="26"/>
    </row>
    <row r="131" spans="1:3" x14ac:dyDescent="0.3">
      <c r="A131" s="28"/>
      <c r="B131" s="28"/>
      <c r="C131" s="26"/>
    </row>
    <row r="132" spans="1:3" x14ac:dyDescent="0.3">
      <c r="A132" s="28"/>
      <c r="B132" s="28"/>
      <c r="C132" s="26"/>
    </row>
    <row r="133" spans="1:3" x14ac:dyDescent="0.3">
      <c r="A133" s="28"/>
      <c r="B133" s="28"/>
      <c r="C133" s="26"/>
    </row>
    <row r="134" spans="1:3" x14ac:dyDescent="0.3">
      <c r="A134" s="28"/>
      <c r="B134" s="28"/>
      <c r="C134" s="26"/>
    </row>
    <row r="135" spans="1:3" x14ac:dyDescent="0.3">
      <c r="A135" s="28"/>
      <c r="B135" s="28"/>
      <c r="C135" s="26"/>
    </row>
    <row r="136" spans="1:3" x14ac:dyDescent="0.3">
      <c r="A136" s="28"/>
      <c r="B136" s="28"/>
      <c r="C136" s="26"/>
    </row>
    <row r="137" spans="1:3" x14ac:dyDescent="0.3">
      <c r="A137" s="28"/>
      <c r="B137" s="28"/>
      <c r="C137" s="26"/>
    </row>
    <row r="138" spans="1:3" x14ac:dyDescent="0.3">
      <c r="A138" s="28"/>
      <c r="B138" s="28"/>
      <c r="C138" s="26"/>
    </row>
    <row r="139" spans="1:3" x14ac:dyDescent="0.3">
      <c r="A139" s="28"/>
      <c r="B139" s="28"/>
      <c r="C139" s="26"/>
    </row>
    <row r="140" spans="1:3" x14ac:dyDescent="0.3">
      <c r="A140" s="28"/>
      <c r="B140" s="28"/>
      <c r="C140" s="26"/>
    </row>
    <row r="141" spans="1:3" x14ac:dyDescent="0.3">
      <c r="A141" s="28"/>
      <c r="B141" s="28"/>
      <c r="C141" s="26"/>
    </row>
    <row r="142" spans="1:3" x14ac:dyDescent="0.3">
      <c r="A142" s="28"/>
      <c r="B142" s="28"/>
      <c r="C142" s="26"/>
    </row>
    <row r="143" spans="1:3" x14ac:dyDescent="0.3">
      <c r="A143" s="28"/>
      <c r="B143" s="28"/>
      <c r="C143" s="26"/>
    </row>
    <row r="144" spans="1:3" x14ac:dyDescent="0.3">
      <c r="A144" s="28"/>
      <c r="B144" s="28"/>
      <c r="C144" s="26"/>
    </row>
    <row r="145" spans="1:3" x14ac:dyDescent="0.3">
      <c r="A145" s="28"/>
      <c r="B145" s="28"/>
      <c r="C145" s="26"/>
    </row>
    <row r="146" spans="1:3" x14ac:dyDescent="0.3">
      <c r="A146" s="28"/>
      <c r="B146" s="28"/>
      <c r="C146" s="26"/>
    </row>
    <row r="147" spans="1:3" x14ac:dyDescent="0.3">
      <c r="A147" s="28"/>
      <c r="B147" s="28"/>
      <c r="C147" s="26"/>
    </row>
    <row r="148" spans="1:3" x14ac:dyDescent="0.3">
      <c r="A148" s="28"/>
      <c r="B148" s="28"/>
      <c r="C148" s="26"/>
    </row>
    <row r="149" spans="1:3" x14ac:dyDescent="0.3">
      <c r="A149" s="28"/>
      <c r="B149" s="28"/>
      <c r="C149" s="26"/>
    </row>
    <row r="150" spans="1:3" x14ac:dyDescent="0.3">
      <c r="A150" s="28"/>
      <c r="B150" s="28"/>
      <c r="C150" s="26"/>
    </row>
    <row r="151" spans="1:3" x14ac:dyDescent="0.3">
      <c r="A151" s="28"/>
      <c r="B151" s="28"/>
      <c r="C151" s="26"/>
    </row>
    <row r="152" spans="1:3" x14ac:dyDescent="0.3">
      <c r="A152" s="28"/>
      <c r="B152" s="28"/>
      <c r="C152" s="26"/>
    </row>
    <row r="153" spans="1:3" x14ac:dyDescent="0.3">
      <c r="A153" s="28"/>
      <c r="B153" s="28"/>
      <c r="C153" s="26"/>
    </row>
    <row r="154" spans="1:3" x14ac:dyDescent="0.3">
      <c r="A154" s="28"/>
      <c r="B154" s="28"/>
      <c r="C154" s="26"/>
    </row>
    <row r="155" spans="1:3" x14ac:dyDescent="0.3">
      <c r="A155" s="28"/>
      <c r="B155" s="28"/>
      <c r="C155" s="26"/>
    </row>
    <row r="156" spans="1:3" x14ac:dyDescent="0.3">
      <c r="A156" s="28"/>
      <c r="B156" s="28"/>
      <c r="C156" s="26"/>
    </row>
    <row r="157" spans="1:3" x14ac:dyDescent="0.3">
      <c r="A157" s="28"/>
      <c r="B157" s="28"/>
      <c r="C157" s="26"/>
    </row>
    <row r="158" spans="1:3" x14ac:dyDescent="0.3">
      <c r="A158" s="28"/>
      <c r="B158" s="28"/>
      <c r="C158" s="26"/>
    </row>
    <row r="159" spans="1:3" x14ac:dyDescent="0.3">
      <c r="A159" s="28"/>
      <c r="B159" s="28"/>
    </row>
    <row r="160" spans="1:3" x14ac:dyDescent="0.3">
      <c r="A160" s="28"/>
      <c r="B160" s="28"/>
    </row>
    <row r="161" spans="1:2" x14ac:dyDescent="0.3">
      <c r="A161" s="28"/>
      <c r="B161" s="28"/>
    </row>
    <row r="162" spans="1:2" x14ac:dyDescent="0.3">
      <c r="A162" s="28"/>
      <c r="B162" s="28"/>
    </row>
    <row r="163" spans="1:2" x14ac:dyDescent="0.3">
      <c r="A163" s="28"/>
      <c r="B163" s="28"/>
    </row>
    <row r="164" spans="1:2" x14ac:dyDescent="0.3">
      <c r="A164" s="28"/>
      <c r="B164" s="28"/>
    </row>
    <row r="165" spans="1:2" x14ac:dyDescent="0.3">
      <c r="A165" s="28"/>
      <c r="B165" s="28"/>
    </row>
    <row r="166" spans="1:2" x14ac:dyDescent="0.3">
      <c r="A166" s="28"/>
      <c r="B166" s="28"/>
    </row>
    <row r="167" spans="1:2" x14ac:dyDescent="0.3">
      <c r="A167" s="28"/>
      <c r="B167" s="28"/>
    </row>
    <row r="168" spans="1:2" x14ac:dyDescent="0.3">
      <c r="A168" s="28"/>
      <c r="B168" s="28"/>
    </row>
    <row r="169" spans="1:2" x14ac:dyDescent="0.3">
      <c r="A169" s="28"/>
      <c r="B169" s="28"/>
    </row>
    <row r="170" spans="1:2" x14ac:dyDescent="0.3">
      <c r="A170" s="28"/>
      <c r="B170" s="28"/>
    </row>
    <row r="171" spans="1:2" x14ac:dyDescent="0.3">
      <c r="A171" s="28"/>
      <c r="B171" s="28"/>
    </row>
    <row r="172" spans="1:2" x14ac:dyDescent="0.3">
      <c r="A172" s="28"/>
      <c r="B172" s="28"/>
    </row>
    <row r="173" spans="1:2" x14ac:dyDescent="0.3">
      <c r="A173" s="28"/>
      <c r="B173" s="28"/>
    </row>
    <row r="174" spans="1:2" x14ac:dyDescent="0.3">
      <c r="A174" s="28"/>
      <c r="B174" s="28"/>
    </row>
    <row r="175" spans="1:2" x14ac:dyDescent="0.3">
      <c r="A175" s="28"/>
      <c r="B175" s="28"/>
    </row>
    <row r="176" spans="1:2" x14ac:dyDescent="0.3">
      <c r="A176" s="28"/>
      <c r="B176" s="28"/>
    </row>
    <row r="177" spans="1:2" x14ac:dyDescent="0.3">
      <c r="A177" s="28"/>
      <c r="B177" s="28"/>
    </row>
    <row r="178" spans="1:2" x14ac:dyDescent="0.3">
      <c r="A178" s="28"/>
      <c r="B178" s="28"/>
    </row>
    <row r="179" spans="1:2" x14ac:dyDescent="0.3">
      <c r="A179" s="28"/>
      <c r="B179" s="28"/>
    </row>
    <row r="180" spans="1:2" x14ac:dyDescent="0.3">
      <c r="A180" s="28"/>
      <c r="B180" s="28"/>
    </row>
    <row r="181" spans="1:2" x14ac:dyDescent="0.3">
      <c r="A181" s="28"/>
      <c r="B181" s="28"/>
    </row>
    <row r="182" spans="1:2" x14ac:dyDescent="0.3">
      <c r="A182" s="28"/>
      <c r="B182" s="28"/>
    </row>
    <row r="183" spans="1:2" x14ac:dyDescent="0.3">
      <c r="A183" s="28"/>
      <c r="B183" s="28"/>
    </row>
    <row r="184" spans="1:2" x14ac:dyDescent="0.3">
      <c r="A184" s="28"/>
      <c r="B184" s="28"/>
    </row>
    <row r="185" spans="1:2" x14ac:dyDescent="0.3">
      <c r="A185" s="28"/>
      <c r="B185" s="28"/>
    </row>
    <row r="186" spans="1:2" x14ac:dyDescent="0.3">
      <c r="A186" s="28"/>
      <c r="B186" s="28"/>
    </row>
    <row r="187" spans="1:2" x14ac:dyDescent="0.3">
      <c r="A187" s="28"/>
      <c r="B187" s="28"/>
    </row>
    <row r="188" spans="1:2" x14ac:dyDescent="0.3">
      <c r="A188" s="28"/>
      <c r="B188" s="28"/>
    </row>
    <row r="189" spans="1:2" x14ac:dyDescent="0.3">
      <c r="A189" s="28"/>
      <c r="B189" s="28"/>
    </row>
    <row r="190" spans="1:2" x14ac:dyDescent="0.3">
      <c r="A190" s="28"/>
      <c r="B190" s="28"/>
    </row>
    <row r="191" spans="1:2" x14ac:dyDescent="0.3">
      <c r="A191" s="28"/>
      <c r="B191" s="28"/>
    </row>
    <row r="192" spans="1:2" x14ac:dyDescent="0.3">
      <c r="A192" s="28"/>
      <c r="B192" s="28"/>
    </row>
    <row r="193" spans="1:2" x14ac:dyDescent="0.3">
      <c r="A193" s="28"/>
      <c r="B193" s="28"/>
    </row>
    <row r="194" spans="1:2" x14ac:dyDescent="0.3">
      <c r="A194" s="28"/>
      <c r="B194" s="28"/>
    </row>
    <row r="195" spans="1:2" x14ac:dyDescent="0.3">
      <c r="A195" s="28"/>
      <c r="B195" s="28"/>
    </row>
    <row r="196" spans="1:2" x14ac:dyDescent="0.3">
      <c r="A196" s="28"/>
      <c r="B196" s="28"/>
    </row>
    <row r="197" spans="1:2" x14ac:dyDescent="0.3">
      <c r="A197" s="28"/>
      <c r="B197" s="28"/>
    </row>
    <row r="198" spans="1:2" x14ac:dyDescent="0.3">
      <c r="A198" s="28"/>
      <c r="B198" s="28"/>
    </row>
    <row r="199" spans="1:2" x14ac:dyDescent="0.3">
      <c r="A199" s="28"/>
      <c r="B199" s="28"/>
    </row>
    <row r="200" spans="1:2" x14ac:dyDescent="0.3">
      <c r="A200" s="28"/>
      <c r="B200" s="28"/>
    </row>
    <row r="201" spans="1:2" x14ac:dyDescent="0.3">
      <c r="A201" s="28"/>
      <c r="B201" s="28"/>
    </row>
    <row r="202" spans="1:2" x14ac:dyDescent="0.3">
      <c r="A202" s="28"/>
      <c r="B202" s="28"/>
    </row>
    <row r="203" spans="1:2" x14ac:dyDescent="0.3">
      <c r="A203" s="28"/>
      <c r="B203" s="28"/>
    </row>
    <row r="204" spans="1:2" x14ac:dyDescent="0.3">
      <c r="A204" s="28"/>
      <c r="B204" s="28"/>
    </row>
    <row r="205" spans="1:2" x14ac:dyDescent="0.3">
      <c r="A205" s="28"/>
      <c r="B205" s="28"/>
    </row>
    <row r="206" spans="1:2" x14ac:dyDescent="0.3">
      <c r="A206" s="28"/>
      <c r="B206" s="28"/>
    </row>
    <row r="207" spans="1:2" x14ac:dyDescent="0.3">
      <c r="A207" s="28"/>
      <c r="B207" s="28"/>
    </row>
    <row r="208" spans="1:2" x14ac:dyDescent="0.3">
      <c r="A208" s="28"/>
      <c r="B208" s="28"/>
    </row>
    <row r="209" spans="1:2" x14ac:dyDescent="0.3">
      <c r="A209" s="28"/>
      <c r="B209" s="28"/>
    </row>
    <row r="210" spans="1:2" x14ac:dyDescent="0.3">
      <c r="A210" s="28"/>
      <c r="B210" s="28"/>
    </row>
    <row r="211" spans="1:2" x14ac:dyDescent="0.3">
      <c r="A211" s="28"/>
      <c r="B211" s="28"/>
    </row>
    <row r="212" spans="1:2" x14ac:dyDescent="0.3">
      <c r="A212" s="28"/>
      <c r="B212" s="28"/>
    </row>
    <row r="213" spans="1:2" x14ac:dyDescent="0.3">
      <c r="A213" s="28"/>
      <c r="B213" s="28"/>
    </row>
    <row r="214" spans="1:2" x14ac:dyDescent="0.3">
      <c r="A214" s="28"/>
      <c r="B214" s="28"/>
    </row>
    <row r="215" spans="1:2" x14ac:dyDescent="0.3">
      <c r="A215" s="28"/>
      <c r="B215" s="28"/>
    </row>
    <row r="216" spans="1:2" x14ac:dyDescent="0.3">
      <c r="A216" s="28"/>
      <c r="B216" s="28"/>
    </row>
    <row r="217" spans="1:2" x14ac:dyDescent="0.3">
      <c r="A217" s="28"/>
      <c r="B217" s="28"/>
    </row>
    <row r="218" spans="1:2" x14ac:dyDescent="0.3">
      <c r="A218" s="28"/>
      <c r="B218" s="28"/>
    </row>
    <row r="219" spans="1:2" x14ac:dyDescent="0.3">
      <c r="A219" s="28"/>
      <c r="B219" s="28"/>
    </row>
    <row r="220" spans="1:2" x14ac:dyDescent="0.3">
      <c r="A220" s="28"/>
      <c r="B220" s="28"/>
    </row>
    <row r="221" spans="1:2" x14ac:dyDescent="0.3">
      <c r="A221" s="28"/>
      <c r="B221" s="28"/>
    </row>
    <row r="222" spans="1:2" x14ac:dyDescent="0.3">
      <c r="A222" s="28"/>
      <c r="B222" s="28"/>
    </row>
    <row r="223" spans="1:2" x14ac:dyDescent="0.3">
      <c r="A223" s="28"/>
      <c r="B223" s="28"/>
    </row>
    <row r="224" spans="1:2" x14ac:dyDescent="0.3">
      <c r="A224" s="28"/>
      <c r="B224" s="28"/>
    </row>
    <row r="225" spans="1:2" x14ac:dyDescent="0.3">
      <c r="A225" s="28"/>
      <c r="B225" s="28"/>
    </row>
    <row r="226" spans="1:2" x14ac:dyDescent="0.3">
      <c r="A226" s="28"/>
      <c r="B226" s="28"/>
    </row>
    <row r="227" spans="1:2" x14ac:dyDescent="0.3">
      <c r="A227" s="28"/>
      <c r="B227" s="28"/>
    </row>
    <row r="228" spans="1:2" x14ac:dyDescent="0.3">
      <c r="A228" s="28"/>
      <c r="B228" s="28"/>
    </row>
    <row r="229" spans="1:2" x14ac:dyDescent="0.3">
      <c r="A229" s="28"/>
      <c r="B229" s="28"/>
    </row>
    <row r="230" spans="1:2" x14ac:dyDescent="0.3">
      <c r="A230" s="28"/>
      <c r="B230" s="28"/>
    </row>
    <row r="231" spans="1:2" x14ac:dyDescent="0.3">
      <c r="A231" s="28"/>
      <c r="B231" s="28"/>
    </row>
    <row r="232" spans="1:2" x14ac:dyDescent="0.3">
      <c r="A232" s="28"/>
      <c r="B232" s="28"/>
    </row>
    <row r="233" spans="1:2" x14ac:dyDescent="0.3">
      <c r="A233" s="28"/>
      <c r="B233" s="28"/>
    </row>
    <row r="234" spans="1:2" x14ac:dyDescent="0.3">
      <c r="A234" s="28"/>
      <c r="B234" s="28"/>
    </row>
    <row r="235" spans="1:2" x14ac:dyDescent="0.3">
      <c r="A235" s="28"/>
      <c r="B235" s="28"/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C56"/>
  <sheetViews>
    <sheetView zoomScale="145" workbookViewId="0">
      <pane ySplit="1" topLeftCell="A2" activePane="bottomLeft" state="frozen"/>
      <selection activeCell="AC50" sqref="AC50"/>
      <selection pane="bottomLeft"/>
    </sheetView>
  </sheetViews>
  <sheetFormatPr baseColWidth="10" defaultColWidth="8.88671875" defaultRowHeight="14.4" x14ac:dyDescent="0.3"/>
  <cols>
    <col min="1" max="1" width="4.33203125" customWidth="1"/>
    <col min="2" max="2" width="38.6640625" customWidth="1"/>
    <col min="3" max="19" width="5.5546875" customWidth="1"/>
    <col min="20" max="21" width="3.44140625" customWidth="1"/>
    <col min="22" max="22" width="13.88671875" bestFit="1" customWidth="1"/>
    <col min="23" max="23" width="32.44140625" customWidth="1"/>
    <col min="24" max="29" width="3.44140625" customWidth="1"/>
  </cols>
  <sheetData>
    <row r="1" spans="1:29" s="29" customFormat="1" ht="66.599999999999994" customHeight="1" x14ac:dyDescent="0.3">
      <c r="A1" s="30" t="s">
        <v>40</v>
      </c>
      <c r="B1" s="31" t="s">
        <v>41</v>
      </c>
      <c r="C1" s="32" t="s">
        <v>5</v>
      </c>
      <c r="D1" s="32" t="s">
        <v>9</v>
      </c>
      <c r="E1" s="32" t="s">
        <v>12</v>
      </c>
      <c r="F1" s="32" t="s">
        <v>42</v>
      </c>
      <c r="G1" s="32" t="s">
        <v>43</v>
      </c>
      <c r="H1" s="32" t="s">
        <v>44</v>
      </c>
      <c r="I1" s="33" t="s">
        <v>45</v>
      </c>
      <c r="J1" s="33" t="s">
        <v>46</v>
      </c>
      <c r="K1" s="32" t="s">
        <v>47</v>
      </c>
      <c r="L1" s="32" t="s">
        <v>48</v>
      </c>
      <c r="M1" s="32" t="s">
        <v>49</v>
      </c>
      <c r="N1" s="32" t="s">
        <v>50</v>
      </c>
      <c r="O1" s="32" t="s">
        <v>51</v>
      </c>
      <c r="P1" s="32" t="s">
        <v>52</v>
      </c>
      <c r="Q1" s="32" t="s">
        <v>53</v>
      </c>
      <c r="R1" s="32" t="s">
        <v>54</v>
      </c>
      <c r="S1" s="32" t="s">
        <v>55</v>
      </c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s="29" customFormat="1" ht="16.5" customHeight="1" x14ac:dyDescent="0.3">
      <c r="A2" s="30" t="s">
        <v>56</v>
      </c>
      <c r="B2" s="31"/>
      <c r="C2" s="32">
        <v>7</v>
      </c>
      <c r="D2" s="32">
        <v>4</v>
      </c>
      <c r="E2" s="32">
        <v>4</v>
      </c>
      <c r="F2" s="32">
        <v>7</v>
      </c>
      <c r="G2" s="32">
        <v>5</v>
      </c>
      <c r="H2" s="32">
        <v>7</v>
      </c>
      <c r="I2" s="33">
        <v>0</v>
      </c>
      <c r="J2" s="33">
        <v>0</v>
      </c>
      <c r="K2" s="32">
        <v>5</v>
      </c>
      <c r="L2" s="32">
        <v>4</v>
      </c>
      <c r="M2" s="32">
        <v>7</v>
      </c>
      <c r="N2" s="32">
        <v>4</v>
      </c>
      <c r="O2" s="32">
        <v>5</v>
      </c>
      <c r="P2" s="32">
        <v>0</v>
      </c>
      <c r="Q2" s="32">
        <v>4</v>
      </c>
      <c r="R2" s="32">
        <v>7</v>
      </c>
      <c r="S2" s="32">
        <v>5</v>
      </c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s="29" customFormat="1" ht="16.5" customHeight="1" x14ac:dyDescent="0.3">
      <c r="A3" s="35" t="s">
        <v>57</v>
      </c>
      <c r="B3" s="36" t="s">
        <v>58</v>
      </c>
      <c r="C3" s="158" t="str">
        <f>_xlfn.CONCAT("Conception Matérielle (",SUM(C2:G2),"h)")</f>
        <v>Conception Matérielle (27h)</v>
      </c>
      <c r="D3" s="159"/>
      <c r="E3" s="159"/>
      <c r="F3" s="159"/>
      <c r="G3" s="159"/>
      <c r="H3" s="160" t="str">
        <f>_xlfn.CONCAT("Développement Logiciel (",SUM(H2:L2),"h)")</f>
        <v>Développement Logiciel (16h)</v>
      </c>
      <c r="I3" s="159"/>
      <c r="J3" s="159"/>
      <c r="K3" s="159"/>
      <c r="L3" s="159"/>
      <c r="M3" s="159"/>
      <c r="N3" s="160" t="str">
        <f>_xlfn.CONCAT("Tests, Validation et Livrables (",SUM(C2:G2),"h)")</f>
        <v>Tests, Validation et Livrables (27h)</v>
      </c>
      <c r="O3" s="159"/>
      <c r="P3" s="159"/>
      <c r="Q3" s="159"/>
      <c r="R3" s="159"/>
      <c r="S3" s="161"/>
      <c r="T3" s="34"/>
      <c r="U3" s="34"/>
      <c r="V3" s="37">
        <f>SUM(C2:S2)</f>
        <v>75</v>
      </c>
      <c r="W3" s="34"/>
      <c r="X3" s="34"/>
      <c r="Y3" s="34"/>
      <c r="Z3" s="34"/>
      <c r="AA3" s="34"/>
      <c r="AB3" s="34"/>
      <c r="AC3" s="34"/>
    </row>
    <row r="4" spans="1:29" ht="10.5" customHeight="1" x14ac:dyDescent="0.3">
      <c r="A4" s="162" t="s">
        <v>6</v>
      </c>
      <c r="B4" s="165" t="s">
        <v>10</v>
      </c>
      <c r="C4" s="38"/>
      <c r="D4" s="38"/>
      <c r="E4" s="39"/>
      <c r="F4" s="39"/>
      <c r="G4" s="40"/>
      <c r="H4" s="41"/>
      <c r="I4" s="42"/>
      <c r="J4" s="42"/>
      <c r="K4" s="39"/>
      <c r="L4" s="39"/>
      <c r="M4" s="40"/>
      <c r="N4" s="41"/>
      <c r="O4" s="39"/>
      <c r="P4" s="39"/>
      <c r="Q4" s="39"/>
      <c r="R4" s="39"/>
      <c r="S4" s="43"/>
      <c r="V4" t="s">
        <v>59</v>
      </c>
      <c r="W4" s="7" t="s">
        <v>60</v>
      </c>
    </row>
    <row r="5" spans="1:29" ht="10.5" customHeight="1" x14ac:dyDescent="0.3">
      <c r="A5" s="163"/>
      <c r="B5" s="166"/>
      <c r="C5" s="44"/>
      <c r="D5" s="44"/>
      <c r="E5" s="45"/>
      <c r="F5" s="45"/>
      <c r="G5" s="46"/>
      <c r="H5" s="47"/>
      <c r="I5" s="48"/>
      <c r="J5" s="48"/>
      <c r="K5" s="45"/>
      <c r="L5" s="45"/>
      <c r="M5" s="46"/>
      <c r="N5" s="47"/>
      <c r="O5" s="45"/>
      <c r="P5" s="45"/>
      <c r="Q5" s="45"/>
      <c r="R5" s="45"/>
      <c r="S5" s="49"/>
    </row>
    <row r="6" spans="1:29" ht="10.5" customHeight="1" x14ac:dyDescent="0.3">
      <c r="A6" s="163"/>
      <c r="B6" s="167" t="s">
        <v>61</v>
      </c>
      <c r="C6" s="50"/>
      <c r="D6" s="51"/>
      <c r="E6" s="51"/>
      <c r="F6" s="51"/>
      <c r="G6" s="52"/>
      <c r="H6" s="53"/>
      <c r="I6" s="48"/>
      <c r="J6" s="48"/>
      <c r="K6" s="51"/>
      <c r="L6" s="51"/>
      <c r="M6" s="52"/>
      <c r="N6" s="53"/>
      <c r="O6" s="51"/>
      <c r="P6" s="51"/>
      <c r="Q6" s="51"/>
      <c r="R6" s="51"/>
      <c r="S6" s="54"/>
    </row>
    <row r="7" spans="1:29" ht="10.5" customHeight="1" x14ac:dyDescent="0.3">
      <c r="A7" s="163"/>
      <c r="B7" s="168"/>
      <c r="C7" s="44"/>
      <c r="D7" s="55"/>
      <c r="E7" s="55"/>
      <c r="F7" s="51"/>
      <c r="G7" s="52"/>
      <c r="H7" s="53"/>
      <c r="I7" s="48"/>
      <c r="J7" s="48"/>
      <c r="K7" s="51"/>
      <c r="L7" s="51"/>
      <c r="M7" s="52"/>
      <c r="N7" s="53"/>
      <c r="O7" s="51"/>
      <c r="P7" s="51"/>
      <c r="Q7" s="51"/>
      <c r="R7" s="51"/>
      <c r="S7" s="54"/>
    </row>
    <row r="8" spans="1:29" ht="10.5" customHeight="1" x14ac:dyDescent="0.3">
      <c r="A8" s="163"/>
      <c r="B8" s="169" t="s">
        <v>10</v>
      </c>
      <c r="C8" s="50"/>
      <c r="D8" s="50"/>
      <c r="E8" s="45"/>
      <c r="F8" s="45"/>
      <c r="G8" s="46"/>
      <c r="H8" s="47"/>
      <c r="I8" s="48"/>
      <c r="J8" s="48"/>
      <c r="K8" s="45"/>
      <c r="L8" s="45"/>
      <c r="M8" s="46"/>
      <c r="N8" s="47"/>
      <c r="O8" s="45"/>
      <c r="P8" s="45"/>
      <c r="Q8" s="45"/>
      <c r="R8" s="45"/>
      <c r="S8" s="49"/>
    </row>
    <row r="9" spans="1:29" ht="10.5" customHeight="1" x14ac:dyDescent="0.3">
      <c r="A9" s="163"/>
      <c r="B9" s="170"/>
      <c r="C9" s="45"/>
      <c r="D9" s="44"/>
      <c r="E9" s="45"/>
      <c r="F9" s="45"/>
      <c r="G9" s="46"/>
      <c r="H9" s="47"/>
      <c r="I9" s="48"/>
      <c r="J9" s="48"/>
      <c r="K9" s="45"/>
      <c r="L9" s="45"/>
      <c r="M9" s="46"/>
      <c r="N9" s="47"/>
      <c r="O9" s="45"/>
      <c r="P9" s="45"/>
      <c r="Q9" s="45"/>
      <c r="R9" s="45"/>
      <c r="S9" s="49"/>
    </row>
    <row r="10" spans="1:29" ht="10.5" customHeight="1" x14ac:dyDescent="0.3">
      <c r="A10" s="163"/>
      <c r="B10" s="171" t="s">
        <v>62</v>
      </c>
      <c r="C10" s="51"/>
      <c r="D10" s="50"/>
      <c r="E10" s="50"/>
      <c r="F10" s="50"/>
      <c r="G10" s="56"/>
      <c r="H10" s="57"/>
      <c r="I10" s="50"/>
      <c r="J10" s="50"/>
      <c r="K10" s="50"/>
      <c r="L10" s="50"/>
      <c r="M10" s="56"/>
      <c r="N10" s="57"/>
      <c r="O10" s="50"/>
      <c r="P10" s="50"/>
      <c r="Q10" s="50"/>
      <c r="R10" s="50"/>
      <c r="S10" s="58"/>
    </row>
    <row r="11" spans="1:29" ht="10.5" customHeight="1" x14ac:dyDescent="0.3">
      <c r="A11" s="164"/>
      <c r="B11" s="172"/>
      <c r="C11" s="59"/>
      <c r="D11" s="60"/>
      <c r="E11" s="60"/>
      <c r="F11" s="59"/>
      <c r="G11" s="61"/>
      <c r="H11" s="62"/>
      <c r="I11" s="63"/>
      <c r="J11" s="63"/>
      <c r="K11" s="59"/>
      <c r="L11" s="59"/>
      <c r="M11" s="61"/>
      <c r="N11" s="62"/>
      <c r="O11" s="59"/>
      <c r="P11" s="59"/>
      <c r="Q11" s="59"/>
      <c r="R11" s="59"/>
      <c r="S11" s="64"/>
    </row>
    <row r="12" spans="1:29" ht="10.5" customHeight="1" x14ac:dyDescent="0.3">
      <c r="A12" s="173" t="s">
        <v>63</v>
      </c>
      <c r="B12" s="176" t="s">
        <v>64</v>
      </c>
      <c r="C12" s="39"/>
      <c r="D12" s="38"/>
      <c r="E12" s="38"/>
      <c r="F12" s="39"/>
      <c r="G12" s="40"/>
      <c r="H12" s="41"/>
      <c r="I12" s="42"/>
      <c r="J12" s="42"/>
      <c r="K12" s="39"/>
      <c r="L12" s="39"/>
      <c r="M12" s="40"/>
      <c r="N12" s="41"/>
      <c r="O12" s="39"/>
      <c r="P12" s="39"/>
      <c r="Q12" s="39"/>
      <c r="R12" s="39"/>
      <c r="S12" s="43"/>
    </row>
    <row r="13" spans="1:29" ht="10.5" customHeight="1" x14ac:dyDescent="0.3">
      <c r="A13" s="174"/>
      <c r="B13" s="170"/>
      <c r="C13" s="45"/>
      <c r="D13" s="45"/>
      <c r="E13" s="44"/>
      <c r="F13" s="44"/>
      <c r="G13" s="46"/>
      <c r="H13" s="47"/>
      <c r="I13" s="48"/>
      <c r="J13" s="48"/>
      <c r="K13" s="45"/>
      <c r="L13" s="45"/>
      <c r="M13" s="46"/>
      <c r="N13" s="47"/>
      <c r="O13" s="45"/>
      <c r="P13" s="45"/>
      <c r="Q13" s="45"/>
      <c r="R13" s="45"/>
      <c r="S13" s="49"/>
    </row>
    <row r="14" spans="1:29" ht="10.5" customHeight="1" x14ac:dyDescent="0.3">
      <c r="A14" s="174"/>
      <c r="B14" s="171" t="s">
        <v>65</v>
      </c>
      <c r="C14" s="51"/>
      <c r="D14" s="50"/>
      <c r="E14" s="50"/>
      <c r="F14" s="51"/>
      <c r="G14" s="52"/>
      <c r="H14" s="53"/>
      <c r="I14" s="48"/>
      <c r="J14" s="48"/>
      <c r="K14" s="51"/>
      <c r="L14" s="51"/>
      <c r="M14" s="52"/>
      <c r="N14" s="53"/>
      <c r="O14" s="51"/>
      <c r="P14" s="51"/>
      <c r="Q14" s="51"/>
      <c r="R14" s="51"/>
      <c r="S14" s="54"/>
    </row>
    <row r="15" spans="1:29" ht="10.5" customHeight="1" x14ac:dyDescent="0.3">
      <c r="A15" s="174"/>
      <c r="B15" s="168"/>
      <c r="C15" s="51"/>
      <c r="D15" s="51"/>
      <c r="E15" s="44"/>
      <c r="F15" s="44"/>
      <c r="G15" s="52"/>
      <c r="H15" s="53"/>
      <c r="I15" s="48"/>
      <c r="J15" s="48"/>
      <c r="K15" s="51"/>
      <c r="L15" s="51"/>
      <c r="M15" s="52"/>
      <c r="N15" s="53"/>
      <c r="O15" s="51"/>
      <c r="P15" s="51"/>
      <c r="Q15" s="51"/>
      <c r="R15" s="51"/>
      <c r="S15" s="54"/>
    </row>
    <row r="16" spans="1:29" ht="10.5" customHeight="1" x14ac:dyDescent="0.3">
      <c r="A16" s="174"/>
      <c r="B16" s="169" t="s">
        <v>66</v>
      </c>
      <c r="C16" s="45"/>
      <c r="D16" s="50"/>
      <c r="E16" s="50"/>
      <c r="F16" s="45"/>
      <c r="G16" s="46"/>
      <c r="H16" s="47"/>
      <c r="I16" s="48"/>
      <c r="J16" s="48"/>
      <c r="K16" s="45"/>
      <c r="L16" s="45"/>
      <c r="M16" s="46"/>
      <c r="N16" s="47"/>
      <c r="O16" s="45"/>
      <c r="P16" s="45"/>
      <c r="Q16" s="45"/>
      <c r="R16" s="45"/>
      <c r="S16" s="49"/>
    </row>
    <row r="17" spans="1:19" ht="10.5" customHeight="1" x14ac:dyDescent="0.3">
      <c r="A17" s="174"/>
      <c r="B17" s="170"/>
      <c r="C17" s="45"/>
      <c r="D17" s="45"/>
      <c r="E17" s="44"/>
      <c r="F17" s="65"/>
      <c r="G17" s="66"/>
      <c r="H17" s="47"/>
      <c r="I17" s="48"/>
      <c r="J17" s="48"/>
      <c r="K17" s="45"/>
      <c r="L17" s="45"/>
      <c r="M17" s="46"/>
      <c r="N17" s="47"/>
      <c r="O17" s="45"/>
      <c r="P17" s="45"/>
      <c r="Q17" s="45"/>
      <c r="R17" s="45"/>
      <c r="S17" s="49"/>
    </row>
    <row r="18" spans="1:19" ht="10.5" customHeight="1" x14ac:dyDescent="0.3">
      <c r="A18" s="174"/>
      <c r="B18" s="171" t="s">
        <v>67</v>
      </c>
      <c r="C18" s="51"/>
      <c r="D18" s="51"/>
      <c r="E18" s="50"/>
      <c r="F18" s="50"/>
      <c r="G18" s="56"/>
      <c r="H18" s="53"/>
      <c r="I18" s="48"/>
      <c r="J18" s="48"/>
      <c r="K18" s="51"/>
      <c r="L18" s="51"/>
      <c r="M18" s="52"/>
      <c r="N18" s="53"/>
      <c r="O18" s="51"/>
      <c r="P18" s="51"/>
      <c r="Q18" s="51"/>
      <c r="R18" s="51"/>
      <c r="S18" s="54"/>
    </row>
    <row r="19" spans="1:19" ht="10.5" customHeight="1" x14ac:dyDescent="0.3">
      <c r="A19" s="175"/>
      <c r="B19" s="172"/>
      <c r="C19" s="59"/>
      <c r="D19" s="59"/>
      <c r="E19" s="59"/>
      <c r="F19" s="59"/>
      <c r="G19" s="61"/>
      <c r="H19" s="62"/>
      <c r="I19" s="63"/>
      <c r="J19" s="63"/>
      <c r="K19" s="59"/>
      <c r="L19" s="59"/>
      <c r="M19" s="61"/>
      <c r="N19" s="62"/>
      <c r="O19" s="59"/>
      <c r="P19" s="59"/>
      <c r="Q19" s="59"/>
      <c r="R19" s="59"/>
      <c r="S19" s="64"/>
    </row>
    <row r="20" spans="1:19" ht="10.5" customHeight="1" x14ac:dyDescent="0.3">
      <c r="A20" s="162" t="s">
        <v>68</v>
      </c>
      <c r="B20" s="176" t="s">
        <v>69</v>
      </c>
      <c r="C20" s="39"/>
      <c r="D20" s="39"/>
      <c r="E20" s="39"/>
      <c r="F20" s="39"/>
      <c r="G20" s="67"/>
      <c r="H20" s="68"/>
      <c r="I20" s="42"/>
      <c r="J20" s="42"/>
      <c r="K20" s="39"/>
      <c r="L20" s="39"/>
      <c r="M20" s="40"/>
      <c r="N20" s="41"/>
      <c r="O20" s="39"/>
      <c r="P20" s="39"/>
      <c r="Q20" s="39"/>
      <c r="R20" s="39"/>
      <c r="S20" s="43"/>
    </row>
    <row r="21" spans="1:19" ht="10.5" customHeight="1" x14ac:dyDescent="0.3">
      <c r="A21" s="163"/>
      <c r="B21" s="170"/>
      <c r="C21" s="45"/>
      <c r="D21" s="45"/>
      <c r="E21" s="45"/>
      <c r="F21" s="45"/>
      <c r="G21" s="46"/>
      <c r="H21" s="47"/>
      <c r="I21" s="48"/>
      <c r="J21" s="48"/>
      <c r="K21" s="45"/>
      <c r="L21" s="45"/>
      <c r="M21" s="46"/>
      <c r="N21" s="47"/>
      <c r="O21" s="45"/>
      <c r="P21" s="45"/>
      <c r="Q21" s="45"/>
      <c r="R21" s="45"/>
      <c r="S21" s="49"/>
    </row>
    <row r="22" spans="1:19" ht="10.5" customHeight="1" x14ac:dyDescent="0.3">
      <c r="A22" s="163"/>
      <c r="B22" s="171" t="s">
        <v>70</v>
      </c>
      <c r="C22" s="51"/>
      <c r="D22" s="51"/>
      <c r="E22" s="51"/>
      <c r="F22" s="51"/>
      <c r="G22" s="56"/>
      <c r="H22" s="57"/>
      <c r="I22" s="48"/>
      <c r="J22" s="48"/>
      <c r="K22" s="51"/>
      <c r="L22" s="51"/>
      <c r="M22" s="52"/>
      <c r="N22" s="53"/>
      <c r="O22" s="51"/>
      <c r="P22" s="51"/>
      <c r="Q22" s="51"/>
      <c r="R22" s="51"/>
      <c r="S22" s="54"/>
    </row>
    <row r="23" spans="1:19" ht="10.5" customHeight="1" x14ac:dyDescent="0.3">
      <c r="A23" s="163"/>
      <c r="B23" s="168"/>
      <c r="C23" s="51"/>
      <c r="D23" s="51"/>
      <c r="E23" s="51"/>
      <c r="F23" s="51"/>
      <c r="G23" s="52"/>
      <c r="H23" s="53"/>
      <c r="I23" s="48"/>
      <c r="J23" s="48"/>
      <c r="K23" s="51"/>
      <c r="L23" s="51"/>
      <c r="M23" s="52"/>
      <c r="N23" s="53"/>
      <c r="O23" s="51"/>
      <c r="P23" s="51"/>
      <c r="Q23" s="51"/>
      <c r="R23" s="51"/>
      <c r="S23" s="54"/>
    </row>
    <row r="24" spans="1:19" ht="10.5" customHeight="1" x14ac:dyDescent="0.3">
      <c r="A24" s="163"/>
      <c r="B24" s="169" t="s">
        <v>71</v>
      </c>
      <c r="C24" s="45"/>
      <c r="D24" s="45"/>
      <c r="E24" s="45"/>
      <c r="F24" s="45"/>
      <c r="G24" s="46"/>
      <c r="H24" s="57"/>
      <c r="I24" s="50"/>
      <c r="J24" s="48"/>
      <c r="K24" s="45"/>
      <c r="L24" s="45"/>
      <c r="M24" s="46"/>
      <c r="N24" s="47"/>
      <c r="O24" s="45"/>
      <c r="P24" s="45"/>
      <c r="Q24" s="45"/>
      <c r="R24" s="45"/>
      <c r="S24" s="49"/>
    </row>
    <row r="25" spans="1:19" ht="10.5" customHeight="1" x14ac:dyDescent="0.3">
      <c r="A25" s="163"/>
      <c r="B25" s="170"/>
      <c r="C25" s="45"/>
      <c r="D25" s="45"/>
      <c r="E25" s="45"/>
      <c r="F25" s="45"/>
      <c r="G25" s="46"/>
      <c r="H25" s="47"/>
      <c r="I25" s="48"/>
      <c r="J25" s="48"/>
      <c r="K25" s="45"/>
      <c r="L25" s="45"/>
      <c r="M25" s="46"/>
      <c r="N25" s="47"/>
      <c r="O25" s="45"/>
      <c r="P25" s="45"/>
      <c r="Q25" s="45"/>
      <c r="R25" s="45"/>
      <c r="S25" s="49"/>
    </row>
    <row r="26" spans="1:19" ht="10.5" customHeight="1" x14ac:dyDescent="0.3">
      <c r="A26" s="163"/>
      <c r="B26" s="171" t="s">
        <v>72</v>
      </c>
      <c r="C26" s="51"/>
      <c r="D26" s="51"/>
      <c r="E26" s="51"/>
      <c r="F26" s="51"/>
      <c r="G26" s="52"/>
      <c r="H26" s="57"/>
      <c r="I26" s="50"/>
      <c r="J26" s="50"/>
      <c r="K26" s="50"/>
      <c r="L26" s="51"/>
      <c r="M26" s="52"/>
      <c r="N26" s="53"/>
      <c r="O26" s="51"/>
      <c r="P26" s="51"/>
      <c r="Q26" s="51"/>
      <c r="R26" s="51"/>
      <c r="S26" s="54"/>
    </row>
    <row r="27" spans="1:19" ht="10.5" customHeight="1" x14ac:dyDescent="0.3">
      <c r="A27" s="163"/>
      <c r="B27" s="168"/>
      <c r="C27" s="51"/>
      <c r="D27" s="51"/>
      <c r="E27" s="51"/>
      <c r="F27" s="51"/>
      <c r="G27" s="52"/>
      <c r="H27" s="53"/>
      <c r="I27" s="48"/>
      <c r="J27" s="48"/>
      <c r="K27" s="51"/>
      <c r="L27" s="51"/>
      <c r="M27" s="52"/>
      <c r="N27" s="53"/>
      <c r="O27" s="51"/>
      <c r="P27" s="51"/>
      <c r="Q27" s="51"/>
      <c r="R27" s="51"/>
      <c r="S27" s="54"/>
    </row>
    <row r="28" spans="1:19" ht="10.5" customHeight="1" x14ac:dyDescent="0.3">
      <c r="A28" s="163"/>
      <c r="B28" s="169" t="s">
        <v>73</v>
      </c>
      <c r="C28" s="45"/>
      <c r="D28" s="45"/>
      <c r="E28" s="45"/>
      <c r="F28" s="45"/>
      <c r="G28" s="46"/>
      <c r="H28" s="47"/>
      <c r="I28" s="50"/>
      <c r="J28" s="50"/>
      <c r="K28" s="50"/>
      <c r="L28" s="50"/>
      <c r="M28" s="56"/>
      <c r="N28" s="47"/>
      <c r="O28" s="45"/>
      <c r="P28" s="45"/>
      <c r="Q28" s="45"/>
      <c r="R28" s="45"/>
      <c r="S28" s="49"/>
    </row>
    <row r="29" spans="1:19" ht="10.5" customHeight="1" x14ac:dyDescent="0.3">
      <c r="A29" s="164"/>
      <c r="B29" s="177"/>
      <c r="C29" s="69"/>
      <c r="D29" s="69"/>
      <c r="E29" s="69"/>
      <c r="F29" s="69"/>
      <c r="G29" s="70"/>
      <c r="H29" s="71"/>
      <c r="I29" s="63"/>
      <c r="J29" s="63"/>
      <c r="K29" s="69"/>
      <c r="L29" s="69"/>
      <c r="M29" s="70"/>
      <c r="N29" s="71"/>
      <c r="O29" s="69"/>
      <c r="P29" s="69"/>
      <c r="Q29" s="69"/>
      <c r="R29" s="69"/>
      <c r="S29" s="72"/>
    </row>
    <row r="30" spans="1:19" ht="10.5" customHeight="1" x14ac:dyDescent="0.3">
      <c r="A30" s="178" t="s">
        <v>74</v>
      </c>
      <c r="B30" s="181" t="s">
        <v>75</v>
      </c>
      <c r="C30" s="73"/>
      <c r="D30" s="73"/>
      <c r="E30" s="73"/>
      <c r="F30" s="73"/>
      <c r="G30" s="74"/>
      <c r="H30" s="75"/>
      <c r="I30" s="42"/>
      <c r="J30" s="42"/>
      <c r="K30" s="73"/>
      <c r="L30" s="38"/>
      <c r="M30" s="67"/>
      <c r="N30" s="68"/>
      <c r="O30" s="73"/>
      <c r="P30" s="73"/>
      <c r="Q30" s="73"/>
      <c r="R30" s="73"/>
      <c r="S30" s="76"/>
    </row>
    <row r="31" spans="1:19" ht="10.5" customHeight="1" x14ac:dyDescent="0.3">
      <c r="A31" s="179"/>
      <c r="B31" s="168"/>
      <c r="C31" s="51"/>
      <c r="D31" s="51"/>
      <c r="E31" s="51"/>
      <c r="F31" s="51"/>
      <c r="G31" s="52"/>
      <c r="H31" s="53"/>
      <c r="I31" s="48"/>
      <c r="J31" s="48"/>
      <c r="K31" s="51"/>
      <c r="L31" s="51"/>
      <c r="M31" s="52"/>
      <c r="N31" s="53"/>
      <c r="O31" s="51"/>
      <c r="P31" s="51"/>
      <c r="Q31" s="51"/>
      <c r="R31" s="51"/>
      <c r="S31" s="54"/>
    </row>
    <row r="32" spans="1:19" ht="10.5" customHeight="1" x14ac:dyDescent="0.3">
      <c r="A32" s="179"/>
      <c r="B32" s="171" t="s">
        <v>76</v>
      </c>
      <c r="C32" s="45"/>
      <c r="D32" s="45"/>
      <c r="E32" s="45"/>
      <c r="F32" s="45"/>
      <c r="G32" s="46"/>
      <c r="H32" s="47"/>
      <c r="I32" s="48"/>
      <c r="J32" s="48"/>
      <c r="K32" s="45"/>
      <c r="L32" s="50"/>
      <c r="M32" s="56"/>
      <c r="N32" s="57"/>
      <c r="O32" s="45"/>
      <c r="P32" s="45"/>
      <c r="Q32" s="45"/>
      <c r="R32" s="45"/>
      <c r="S32" s="49"/>
    </row>
    <row r="33" spans="1:23" ht="10.5" customHeight="1" x14ac:dyDescent="0.3">
      <c r="A33" s="179"/>
      <c r="B33" s="168"/>
      <c r="C33" s="45"/>
      <c r="D33" s="45"/>
      <c r="E33" s="45"/>
      <c r="F33" s="45"/>
      <c r="G33" s="46"/>
      <c r="H33" s="47"/>
      <c r="I33" s="48"/>
      <c r="J33" s="48"/>
      <c r="K33" s="45"/>
      <c r="L33" s="45"/>
      <c r="M33" s="46"/>
      <c r="N33" s="47"/>
      <c r="O33" s="45"/>
      <c r="P33" s="45"/>
      <c r="Q33" s="45"/>
      <c r="R33" s="45"/>
      <c r="S33" s="49"/>
    </row>
    <row r="34" spans="1:23" ht="10.5" customHeight="1" x14ac:dyDescent="0.3">
      <c r="A34" s="179"/>
      <c r="B34" s="171" t="s">
        <v>77</v>
      </c>
      <c r="C34" s="51"/>
      <c r="D34" s="51"/>
      <c r="E34" s="51"/>
      <c r="F34" s="51"/>
      <c r="G34" s="52"/>
      <c r="H34" s="53"/>
      <c r="I34" s="48"/>
      <c r="J34" s="48"/>
      <c r="K34" s="51"/>
      <c r="L34" s="51"/>
      <c r="M34" s="56"/>
      <c r="N34" s="57"/>
      <c r="O34" s="51"/>
      <c r="P34" s="51"/>
      <c r="Q34" s="51"/>
      <c r="R34" s="51"/>
      <c r="S34" s="54"/>
    </row>
    <row r="35" spans="1:23" ht="10.5" customHeight="1" x14ac:dyDescent="0.3">
      <c r="A35" s="179"/>
      <c r="B35" s="168"/>
      <c r="C35" s="51"/>
      <c r="D35" s="51"/>
      <c r="E35" s="51"/>
      <c r="F35" s="51"/>
      <c r="G35" s="52"/>
      <c r="H35" s="53"/>
      <c r="I35" s="48"/>
      <c r="J35" s="48"/>
      <c r="K35" s="51"/>
      <c r="L35" s="51"/>
      <c r="M35" s="52"/>
      <c r="N35" s="53"/>
      <c r="O35" s="51"/>
      <c r="P35" s="51"/>
      <c r="Q35" s="51"/>
      <c r="R35" s="51"/>
      <c r="S35" s="54"/>
    </row>
    <row r="36" spans="1:23" ht="10.5" customHeight="1" x14ac:dyDescent="0.3">
      <c r="A36" s="179"/>
      <c r="B36" s="169" t="s">
        <v>78</v>
      </c>
      <c r="C36" s="45"/>
      <c r="D36" s="45"/>
      <c r="E36" s="45"/>
      <c r="F36" s="45"/>
      <c r="G36" s="46"/>
      <c r="H36" s="47"/>
      <c r="I36" s="48"/>
      <c r="J36" s="48"/>
      <c r="K36" s="45"/>
      <c r="L36" s="45"/>
      <c r="M36" s="46"/>
      <c r="N36" s="57"/>
      <c r="O36" s="50"/>
      <c r="P36" s="50"/>
      <c r="Q36" s="45"/>
      <c r="R36" s="45"/>
      <c r="S36" s="49"/>
    </row>
    <row r="37" spans="1:23" ht="10.5" customHeight="1" x14ac:dyDescent="0.3">
      <c r="A37" s="179"/>
      <c r="B37" s="170"/>
      <c r="C37" s="45"/>
      <c r="D37" s="45"/>
      <c r="E37" s="45"/>
      <c r="F37" s="45"/>
      <c r="G37" s="46"/>
      <c r="H37" s="47"/>
      <c r="I37" s="48"/>
      <c r="J37" s="48"/>
      <c r="K37" s="45"/>
      <c r="L37" s="45"/>
      <c r="M37" s="46"/>
      <c r="N37" s="47"/>
      <c r="O37" s="45"/>
      <c r="P37" s="45"/>
      <c r="Q37" s="45"/>
      <c r="R37" s="45"/>
      <c r="S37" s="49"/>
    </row>
    <row r="38" spans="1:23" ht="10.5" customHeight="1" x14ac:dyDescent="0.3">
      <c r="A38" s="179"/>
      <c r="B38" s="171" t="s">
        <v>79</v>
      </c>
      <c r="C38" s="51"/>
      <c r="D38" s="51"/>
      <c r="E38" s="51"/>
      <c r="F38" s="51"/>
      <c r="G38" s="52"/>
      <c r="H38" s="53"/>
      <c r="I38" s="48"/>
      <c r="J38" s="48"/>
      <c r="K38" s="51"/>
      <c r="L38" s="51"/>
      <c r="M38" s="52"/>
      <c r="N38" s="57"/>
      <c r="O38" s="50"/>
      <c r="P38" s="50"/>
      <c r="Q38" s="51"/>
      <c r="R38" s="51"/>
      <c r="S38" s="54"/>
    </row>
    <row r="39" spans="1:23" ht="10.5" customHeight="1" x14ac:dyDescent="0.3">
      <c r="A39" s="179"/>
      <c r="B39" s="168"/>
      <c r="C39" s="51"/>
      <c r="D39" s="51"/>
      <c r="E39" s="51"/>
      <c r="F39" s="51"/>
      <c r="G39" s="52"/>
      <c r="H39" s="53"/>
      <c r="I39" s="48"/>
      <c r="J39" s="48"/>
      <c r="K39" s="51"/>
      <c r="L39" s="51"/>
      <c r="M39" s="52"/>
      <c r="N39" s="53"/>
      <c r="O39" s="51"/>
      <c r="P39" s="51"/>
      <c r="Q39" s="51"/>
      <c r="R39" s="51"/>
      <c r="S39" s="54"/>
    </row>
    <row r="40" spans="1:23" ht="10.5" customHeight="1" x14ac:dyDescent="0.3">
      <c r="A40" s="179"/>
      <c r="B40" s="169" t="s">
        <v>80</v>
      </c>
      <c r="C40" s="45"/>
      <c r="D40" s="45"/>
      <c r="E40" s="45"/>
      <c r="F40" s="45"/>
      <c r="G40" s="46"/>
      <c r="H40" s="47"/>
      <c r="I40" s="48"/>
      <c r="J40" s="48"/>
      <c r="K40" s="45"/>
      <c r="L40" s="45"/>
      <c r="M40" s="46"/>
      <c r="N40" s="47"/>
      <c r="O40" s="45"/>
      <c r="P40" s="45"/>
      <c r="Q40" s="50"/>
      <c r="R40" s="50"/>
      <c r="S40" s="49"/>
    </row>
    <row r="41" spans="1:23" ht="10.5" customHeight="1" x14ac:dyDescent="0.3">
      <c r="A41" s="179"/>
      <c r="B41" s="170"/>
      <c r="C41" s="45"/>
      <c r="D41" s="45"/>
      <c r="E41" s="45"/>
      <c r="F41" s="45"/>
      <c r="G41" s="46"/>
      <c r="H41" s="47"/>
      <c r="I41" s="48"/>
      <c r="J41" s="48"/>
      <c r="K41" s="45"/>
      <c r="L41" s="45"/>
      <c r="M41" s="46"/>
      <c r="N41" s="47"/>
      <c r="O41" s="45"/>
      <c r="P41" s="45"/>
      <c r="Q41" s="45"/>
      <c r="R41" s="45"/>
      <c r="S41" s="49"/>
    </row>
    <row r="42" spans="1:23" ht="10.5" customHeight="1" x14ac:dyDescent="0.3">
      <c r="A42" s="179"/>
      <c r="B42" s="171" t="s">
        <v>81</v>
      </c>
      <c r="C42" s="51"/>
      <c r="D42" s="51"/>
      <c r="E42" s="51"/>
      <c r="F42" s="51"/>
      <c r="G42" s="52"/>
      <c r="H42" s="53"/>
      <c r="I42" s="48"/>
      <c r="J42" s="48"/>
      <c r="K42" s="51"/>
      <c r="L42" s="51"/>
      <c r="M42" s="52"/>
      <c r="N42" s="53"/>
      <c r="O42" s="51"/>
      <c r="P42" s="51"/>
      <c r="Q42" s="51"/>
      <c r="R42" s="50"/>
      <c r="S42" s="58"/>
    </row>
    <row r="43" spans="1:23" ht="10.5" customHeight="1" x14ac:dyDescent="0.3">
      <c r="A43" s="180"/>
      <c r="B43" s="172"/>
      <c r="C43" s="59"/>
      <c r="D43" s="59"/>
      <c r="E43" s="59"/>
      <c r="F43" s="59"/>
      <c r="G43" s="61"/>
      <c r="H43" s="62"/>
      <c r="I43" s="63"/>
      <c r="J43" s="63"/>
      <c r="K43" s="59"/>
      <c r="L43" s="59"/>
      <c r="M43" s="61"/>
      <c r="N43" s="62"/>
      <c r="O43" s="59"/>
      <c r="P43" s="59"/>
      <c r="Q43" s="59"/>
      <c r="R43" s="59"/>
      <c r="S43" s="64"/>
    </row>
    <row r="44" spans="1:23" ht="10.5" customHeight="1" x14ac:dyDescent="0.3">
      <c r="A44" s="162" t="s">
        <v>82</v>
      </c>
      <c r="B44" s="165" t="s">
        <v>24</v>
      </c>
      <c r="C44" s="39"/>
      <c r="D44" s="39"/>
      <c r="E44" s="39"/>
      <c r="F44" s="39"/>
      <c r="G44" s="40"/>
      <c r="H44" s="41"/>
      <c r="I44" s="42"/>
      <c r="J44" s="42"/>
      <c r="K44" s="39"/>
      <c r="L44" s="39"/>
      <c r="M44" s="40"/>
      <c r="N44" s="41"/>
      <c r="O44" s="39"/>
      <c r="P44" s="39"/>
      <c r="Q44" s="39"/>
      <c r="R44" s="39"/>
      <c r="S44" s="77"/>
    </row>
    <row r="45" spans="1:23" ht="10.5" customHeight="1" x14ac:dyDescent="0.3">
      <c r="A45" s="163"/>
      <c r="B45" s="166"/>
      <c r="C45" s="45"/>
      <c r="D45" s="45"/>
      <c r="E45" s="45"/>
      <c r="F45" s="45"/>
      <c r="G45" s="46"/>
      <c r="H45" s="47"/>
      <c r="I45" s="48"/>
      <c r="J45" s="48"/>
      <c r="K45" s="45"/>
      <c r="L45" s="45"/>
      <c r="M45" s="46"/>
      <c r="N45" s="47"/>
      <c r="O45" s="45"/>
      <c r="P45" s="45"/>
      <c r="Q45" s="45"/>
      <c r="R45" s="45"/>
      <c r="S45" s="49"/>
      <c r="V45" s="78" t="s">
        <v>83</v>
      </c>
      <c r="W45" s="50"/>
    </row>
    <row r="46" spans="1:23" ht="10.5" customHeight="1" x14ac:dyDescent="0.3">
      <c r="A46" s="163"/>
      <c r="B46" s="182" t="s">
        <v>84</v>
      </c>
      <c r="C46" s="51"/>
      <c r="D46" s="51"/>
      <c r="E46" s="51"/>
      <c r="F46" s="51"/>
      <c r="G46" s="52"/>
      <c r="H46" s="53"/>
      <c r="I46" s="48"/>
      <c r="J46" s="48"/>
      <c r="K46" s="51"/>
      <c r="L46" s="51"/>
      <c r="M46" s="52"/>
      <c r="N46" s="53"/>
      <c r="O46" s="51"/>
      <c r="P46" s="51"/>
      <c r="Q46" s="51"/>
      <c r="R46" s="51"/>
      <c r="S46" s="58"/>
      <c r="V46" s="78" t="s">
        <v>85</v>
      </c>
      <c r="W46" s="44"/>
    </row>
    <row r="47" spans="1:23" ht="10.5" customHeight="1" x14ac:dyDescent="0.3">
      <c r="A47" s="164"/>
      <c r="B47" s="183"/>
      <c r="C47" s="59"/>
      <c r="D47" s="59"/>
      <c r="E47" s="59"/>
      <c r="F47" s="59"/>
      <c r="G47" s="61"/>
      <c r="H47" s="62"/>
      <c r="I47" s="63"/>
      <c r="J47" s="63"/>
      <c r="K47" s="59"/>
      <c r="L47" s="59"/>
      <c r="M47" s="61"/>
      <c r="N47" s="62"/>
      <c r="O47" s="59"/>
      <c r="P47" s="59"/>
      <c r="Q47" s="59"/>
      <c r="R47" s="59"/>
      <c r="S47" s="64"/>
      <c r="V47" s="78" t="s">
        <v>86</v>
      </c>
      <c r="W47" s="55"/>
    </row>
    <row r="54" spans="22:23" x14ac:dyDescent="0.3">
      <c r="V54" s="79">
        <v>46185</v>
      </c>
      <c r="W54" t="s">
        <v>87</v>
      </c>
    </row>
    <row r="55" spans="22:23" x14ac:dyDescent="0.3">
      <c r="V55">
        <v>17</v>
      </c>
      <c r="W55" t="s">
        <v>88</v>
      </c>
    </row>
    <row r="56" spans="22:23" x14ac:dyDescent="0.3">
      <c r="V56">
        <v>18</v>
      </c>
      <c r="W56" t="s">
        <v>89</v>
      </c>
    </row>
  </sheetData>
  <mergeCells count="30">
    <mergeCell ref="A44:A47"/>
    <mergeCell ref="B44:B45"/>
    <mergeCell ref="B46:B47"/>
    <mergeCell ref="A30:A43"/>
    <mergeCell ref="B30:B31"/>
    <mergeCell ref="B32:B33"/>
    <mergeCell ref="B34:B35"/>
    <mergeCell ref="B36:B37"/>
    <mergeCell ref="B38:B39"/>
    <mergeCell ref="B40:B41"/>
    <mergeCell ref="B42:B43"/>
    <mergeCell ref="A20:A29"/>
    <mergeCell ref="B20:B21"/>
    <mergeCell ref="B22:B23"/>
    <mergeCell ref="B24:B25"/>
    <mergeCell ref="B26:B27"/>
    <mergeCell ref="B28:B29"/>
    <mergeCell ref="A12:A19"/>
    <mergeCell ref="B12:B13"/>
    <mergeCell ref="B14:B15"/>
    <mergeCell ref="B16:B17"/>
    <mergeCell ref="B18:B19"/>
    <mergeCell ref="C3:G3"/>
    <mergeCell ref="H3:M3"/>
    <mergeCell ref="N3:S3"/>
    <mergeCell ref="A4:A11"/>
    <mergeCell ref="B4:B5"/>
    <mergeCell ref="B6:B7"/>
    <mergeCell ref="B8:B9"/>
    <mergeCell ref="B10:B11"/>
  </mergeCells>
  <pageMargins left="0.70078740157480324" right="0.70078740157480324" top="0.75196850393700787" bottom="0.75196850393700787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AD35"/>
  <sheetViews>
    <sheetView zoomScale="115" workbookViewId="0"/>
  </sheetViews>
  <sheetFormatPr baseColWidth="10" defaultColWidth="8.88671875" defaultRowHeight="14.4" x14ac:dyDescent="0.3"/>
  <cols>
    <col min="1" max="1" width="2.88671875" customWidth="1"/>
    <col min="2" max="2" width="6.5546875" customWidth="1"/>
    <col min="3" max="3" width="31.21875" bestFit="1" customWidth="1"/>
    <col min="4" max="4" width="3.33203125" customWidth="1"/>
    <col min="5" max="19" width="4.33203125" customWidth="1"/>
    <col min="20" max="20" width="3.21875" customWidth="1"/>
    <col min="21" max="21" width="2.88671875" customWidth="1"/>
    <col min="22" max="22" width="17.21875" customWidth="1"/>
    <col min="30" max="30" width="10.109375" bestFit="1" customWidth="1"/>
  </cols>
  <sheetData>
    <row r="1" spans="2:30" x14ac:dyDescent="0.3">
      <c r="B1" s="80"/>
    </row>
    <row r="2" spans="2:30" ht="56.4" customHeight="1" x14ac:dyDescent="0.3">
      <c r="B2" s="196" t="s">
        <v>40</v>
      </c>
      <c r="C2" s="186" t="s">
        <v>41</v>
      </c>
      <c r="D2" s="81" t="s">
        <v>90</v>
      </c>
      <c r="E2" s="82" t="s">
        <v>91</v>
      </c>
      <c r="F2" s="199" t="s">
        <v>92</v>
      </c>
      <c r="G2" s="199"/>
      <c r="H2" s="199"/>
      <c r="I2" s="203"/>
      <c r="J2" s="199" t="s">
        <v>93</v>
      </c>
      <c r="K2" s="199"/>
      <c r="L2" s="199"/>
      <c r="M2" s="203"/>
      <c r="N2" s="199" t="s">
        <v>94</v>
      </c>
      <c r="O2" s="199"/>
      <c r="P2" s="199"/>
      <c r="Q2" s="203"/>
      <c r="R2" s="199" t="s">
        <v>95</v>
      </c>
      <c r="S2" s="200"/>
      <c r="AD2" s="27"/>
    </row>
    <row r="3" spans="2:30" x14ac:dyDescent="0.3">
      <c r="B3" s="202"/>
      <c r="C3" s="189"/>
      <c r="D3" s="83" t="s">
        <v>57</v>
      </c>
      <c r="E3" s="84">
        <v>4</v>
      </c>
      <c r="F3" s="85">
        <v>1</v>
      </c>
      <c r="G3" s="86">
        <v>2</v>
      </c>
      <c r="H3" s="86">
        <v>3</v>
      </c>
      <c r="I3" s="84">
        <v>4</v>
      </c>
      <c r="J3" s="85">
        <v>1</v>
      </c>
      <c r="K3" s="86">
        <v>2</v>
      </c>
      <c r="L3" s="86">
        <v>3</v>
      </c>
      <c r="M3" s="84">
        <v>4</v>
      </c>
      <c r="N3" s="85">
        <v>1</v>
      </c>
      <c r="O3" s="86">
        <v>2</v>
      </c>
      <c r="P3" s="86">
        <v>3</v>
      </c>
      <c r="Q3" s="84">
        <v>4</v>
      </c>
      <c r="R3" s="85">
        <v>1</v>
      </c>
      <c r="S3" s="87">
        <v>2</v>
      </c>
      <c r="U3" t="s">
        <v>96</v>
      </c>
    </row>
    <row r="4" spans="2:30" ht="12" customHeight="1" x14ac:dyDescent="0.3">
      <c r="B4" s="185" t="s">
        <v>97</v>
      </c>
      <c r="C4" s="186" t="s">
        <v>98</v>
      </c>
      <c r="D4" s="88"/>
      <c r="E4" s="89"/>
      <c r="F4" s="90"/>
      <c r="G4" s="91"/>
      <c r="H4" s="91"/>
      <c r="I4" s="89"/>
      <c r="J4" s="92"/>
      <c r="K4" s="91"/>
      <c r="L4" s="91"/>
      <c r="M4" s="89"/>
      <c r="N4" s="92"/>
      <c r="O4" s="91"/>
      <c r="P4" s="91"/>
      <c r="Q4" s="89"/>
      <c r="R4" s="92"/>
      <c r="S4" s="93"/>
      <c r="U4" t="s">
        <v>99</v>
      </c>
    </row>
    <row r="5" spans="2:30" ht="12" customHeight="1" x14ac:dyDescent="0.3">
      <c r="B5" s="185"/>
      <c r="C5" s="187"/>
      <c r="D5" s="94"/>
      <c r="E5" s="95"/>
      <c r="F5" s="96"/>
      <c r="G5" s="97"/>
      <c r="H5" s="98"/>
      <c r="I5" s="95"/>
      <c r="J5" s="99"/>
      <c r="K5" s="98"/>
      <c r="L5" s="98"/>
      <c r="M5" s="95"/>
      <c r="N5" s="99"/>
      <c r="O5" s="98"/>
      <c r="P5" s="98"/>
      <c r="Q5" s="95"/>
      <c r="R5" s="99"/>
      <c r="S5" s="100"/>
    </row>
    <row r="6" spans="2:30" ht="12" customHeight="1" x14ac:dyDescent="0.3">
      <c r="B6" s="185"/>
      <c r="C6" s="188" t="s">
        <v>100</v>
      </c>
      <c r="D6" s="101"/>
      <c r="E6" s="102"/>
      <c r="F6" s="103"/>
      <c r="G6" s="104"/>
      <c r="H6" s="105"/>
      <c r="I6" s="102"/>
      <c r="J6" s="106"/>
      <c r="K6" s="105"/>
      <c r="L6" s="105"/>
      <c r="M6" s="102"/>
      <c r="N6" s="106"/>
      <c r="O6" s="105"/>
      <c r="P6" s="105"/>
      <c r="Q6" s="102"/>
      <c r="R6" s="106"/>
      <c r="S6" s="107"/>
      <c r="U6" s="201" t="s">
        <v>101</v>
      </c>
      <c r="V6" s="201"/>
    </row>
    <row r="7" spans="2:30" ht="12" customHeight="1" x14ac:dyDescent="0.3">
      <c r="B7" s="185"/>
      <c r="C7" s="187"/>
      <c r="D7" s="94"/>
      <c r="E7" s="95"/>
      <c r="F7" s="99"/>
      <c r="G7" s="97"/>
      <c r="H7" s="97"/>
      <c r="I7" s="95"/>
      <c r="J7" s="99"/>
      <c r="K7" s="98"/>
      <c r="L7" s="98"/>
      <c r="M7" s="95"/>
      <c r="N7" s="99"/>
      <c r="O7" s="98"/>
      <c r="P7" s="98"/>
      <c r="Q7" s="95"/>
      <c r="R7" s="99"/>
      <c r="S7" s="100"/>
      <c r="U7" t="s">
        <v>102</v>
      </c>
    </row>
    <row r="8" spans="2:30" ht="12" customHeight="1" x14ac:dyDescent="0.3">
      <c r="B8" s="185"/>
      <c r="C8" s="188" t="s">
        <v>103</v>
      </c>
      <c r="D8" s="101"/>
      <c r="E8" s="102"/>
      <c r="F8" s="103"/>
      <c r="G8" s="105"/>
      <c r="H8" s="105"/>
      <c r="I8" s="102"/>
      <c r="J8" s="106"/>
      <c r="K8" s="105"/>
      <c r="L8" s="105"/>
      <c r="M8" s="102"/>
      <c r="N8" s="106"/>
      <c r="O8" s="105"/>
      <c r="P8" s="105"/>
      <c r="Q8" s="102"/>
      <c r="R8" s="106"/>
      <c r="S8" s="107"/>
      <c r="U8" t="s">
        <v>104</v>
      </c>
    </row>
    <row r="9" spans="2:30" ht="12" customHeight="1" x14ac:dyDescent="0.3">
      <c r="B9" s="185"/>
      <c r="C9" s="187"/>
      <c r="D9" s="94"/>
      <c r="E9" s="95"/>
      <c r="F9" s="99"/>
      <c r="G9" s="97"/>
      <c r="H9" s="98"/>
      <c r="I9" s="95"/>
      <c r="J9" s="99"/>
      <c r="K9" s="98"/>
      <c r="L9" s="98"/>
      <c r="M9" s="95"/>
      <c r="N9" s="99"/>
      <c r="O9" s="98"/>
      <c r="P9" s="98"/>
      <c r="Q9" s="95"/>
      <c r="R9" s="99"/>
      <c r="S9" s="100"/>
    </row>
    <row r="10" spans="2:30" ht="12" customHeight="1" x14ac:dyDescent="0.3">
      <c r="B10" s="185"/>
      <c r="C10" s="188" t="s">
        <v>105</v>
      </c>
      <c r="D10" s="101"/>
      <c r="E10" s="102"/>
      <c r="F10" s="106"/>
      <c r="G10" s="104"/>
      <c r="H10" s="104"/>
      <c r="I10" s="102"/>
      <c r="J10" s="106"/>
      <c r="K10" s="105"/>
      <c r="L10" s="105"/>
      <c r="M10" s="102"/>
      <c r="N10" s="106"/>
      <c r="O10" s="105"/>
      <c r="P10" s="105"/>
      <c r="Q10" s="102"/>
      <c r="R10" s="106"/>
      <c r="S10" s="107"/>
    </row>
    <row r="11" spans="2:30" ht="12" customHeight="1" x14ac:dyDescent="0.3">
      <c r="B11" s="197"/>
      <c r="C11" s="198"/>
      <c r="D11" s="108"/>
      <c r="E11" s="109"/>
      <c r="F11" s="110"/>
      <c r="G11" s="111"/>
      <c r="H11" s="111"/>
      <c r="I11" s="109"/>
      <c r="J11" s="110"/>
      <c r="K11" s="112"/>
      <c r="L11" s="112"/>
      <c r="M11" s="109"/>
      <c r="N11" s="110"/>
      <c r="O11" s="112"/>
      <c r="P11" s="112"/>
      <c r="Q11" s="109"/>
      <c r="R11" s="110"/>
      <c r="S11" s="113"/>
    </row>
    <row r="12" spans="2:30" ht="12" customHeight="1" x14ac:dyDescent="0.3">
      <c r="B12" s="196" t="s">
        <v>106</v>
      </c>
      <c r="C12" s="186" t="s">
        <v>107</v>
      </c>
      <c r="D12" s="88"/>
      <c r="E12" s="89"/>
      <c r="F12" s="92"/>
      <c r="G12" s="91"/>
      <c r="H12" s="114"/>
      <c r="I12" s="115"/>
      <c r="J12" s="92"/>
      <c r="K12" s="91"/>
      <c r="L12" s="91"/>
      <c r="M12" s="89"/>
      <c r="N12" s="92"/>
      <c r="O12" s="91"/>
      <c r="P12" s="91"/>
      <c r="Q12" s="89"/>
      <c r="R12" s="92"/>
      <c r="S12" s="93"/>
    </row>
    <row r="13" spans="2:30" ht="12" customHeight="1" x14ac:dyDescent="0.3">
      <c r="B13" s="185"/>
      <c r="C13" s="187"/>
      <c r="D13" s="94"/>
      <c r="E13" s="95"/>
      <c r="F13" s="99"/>
      <c r="G13" s="98"/>
      <c r="H13" s="98"/>
      <c r="I13" s="95"/>
      <c r="J13" s="96"/>
      <c r="K13" s="98"/>
      <c r="L13" s="98"/>
      <c r="M13" s="95"/>
      <c r="N13" s="99"/>
      <c r="O13" s="98"/>
      <c r="P13" s="98"/>
      <c r="Q13" s="95"/>
      <c r="R13" s="99"/>
      <c r="S13" s="100"/>
    </row>
    <row r="14" spans="2:30" ht="12" customHeight="1" x14ac:dyDescent="0.3">
      <c r="B14" s="185"/>
      <c r="C14" s="188" t="s">
        <v>108</v>
      </c>
      <c r="D14" s="116"/>
      <c r="E14" s="102"/>
      <c r="F14" s="106"/>
      <c r="G14" s="105"/>
      <c r="H14" s="104"/>
      <c r="I14" s="102"/>
      <c r="J14" s="106"/>
      <c r="K14" s="105"/>
      <c r="L14" s="105"/>
      <c r="M14" s="102"/>
      <c r="N14" s="106"/>
      <c r="O14" s="105"/>
      <c r="P14" s="105"/>
      <c r="Q14" s="102"/>
      <c r="R14" s="106"/>
      <c r="S14" s="107"/>
    </row>
    <row r="15" spans="2:30" ht="12" customHeight="1" x14ac:dyDescent="0.3">
      <c r="B15" s="185"/>
      <c r="C15" s="187"/>
      <c r="D15" s="94"/>
      <c r="E15" s="95"/>
      <c r="F15" s="99"/>
      <c r="G15" s="98"/>
      <c r="H15" s="98"/>
      <c r="I15" s="117"/>
      <c r="J15" s="96"/>
      <c r="K15" s="98"/>
      <c r="L15" s="98"/>
      <c r="M15" s="95"/>
      <c r="N15" s="99"/>
      <c r="O15" s="98"/>
      <c r="P15" s="98"/>
      <c r="Q15" s="95"/>
      <c r="R15" s="99"/>
      <c r="S15" s="100"/>
    </row>
    <row r="16" spans="2:30" ht="12" customHeight="1" x14ac:dyDescent="0.3">
      <c r="B16" s="185"/>
      <c r="C16" s="188" t="s">
        <v>109</v>
      </c>
      <c r="D16" s="101"/>
      <c r="E16" s="102"/>
      <c r="F16" s="106"/>
      <c r="G16" s="105"/>
      <c r="H16" s="104"/>
      <c r="I16" s="118"/>
      <c r="J16" s="106"/>
      <c r="K16" s="105"/>
      <c r="L16" s="105"/>
      <c r="M16" s="102"/>
      <c r="N16" s="106"/>
      <c r="O16" s="105"/>
      <c r="P16" s="105"/>
      <c r="Q16" s="102"/>
      <c r="R16" s="106"/>
      <c r="S16" s="107"/>
    </row>
    <row r="17" spans="2:19" ht="12" customHeight="1" x14ac:dyDescent="0.3">
      <c r="B17" s="197"/>
      <c r="C17" s="198"/>
      <c r="D17" s="108"/>
      <c r="E17" s="109"/>
      <c r="F17" s="110"/>
      <c r="G17" s="112"/>
      <c r="H17" s="112"/>
      <c r="I17" s="109"/>
      <c r="J17" s="119"/>
      <c r="K17" s="111"/>
      <c r="L17" s="112"/>
      <c r="M17" s="109"/>
      <c r="N17" s="110"/>
      <c r="O17" s="112"/>
      <c r="P17" s="112"/>
      <c r="Q17" s="109"/>
      <c r="R17" s="110"/>
      <c r="S17" s="113"/>
    </row>
    <row r="18" spans="2:19" ht="12" customHeight="1" x14ac:dyDescent="0.3">
      <c r="B18" s="184" t="s">
        <v>110</v>
      </c>
      <c r="C18" s="186" t="s">
        <v>111</v>
      </c>
      <c r="D18" s="88"/>
      <c r="E18" s="89"/>
      <c r="F18" s="92"/>
      <c r="G18" s="91"/>
      <c r="H18" s="91"/>
      <c r="I18" s="115"/>
      <c r="J18" s="92"/>
      <c r="K18" s="91"/>
      <c r="L18" s="91"/>
      <c r="M18" s="89"/>
      <c r="N18" s="92"/>
      <c r="O18" s="91"/>
      <c r="P18" s="91"/>
      <c r="Q18" s="89"/>
      <c r="R18" s="92"/>
      <c r="S18" s="93"/>
    </row>
    <row r="19" spans="2:19" ht="12" customHeight="1" x14ac:dyDescent="0.3">
      <c r="B19" s="185"/>
      <c r="C19" s="187"/>
      <c r="D19" s="94"/>
      <c r="E19" s="95"/>
      <c r="F19" s="99"/>
      <c r="G19" s="97"/>
      <c r="H19" s="98"/>
      <c r="I19" s="95"/>
      <c r="J19" s="99"/>
      <c r="K19" s="98"/>
      <c r="L19" s="98"/>
      <c r="M19" s="95"/>
      <c r="N19" s="99"/>
      <c r="O19" s="98"/>
      <c r="P19" s="98"/>
      <c r="Q19" s="95"/>
      <c r="R19" s="99"/>
      <c r="S19" s="100"/>
    </row>
    <row r="20" spans="2:19" ht="12" customHeight="1" x14ac:dyDescent="0.3">
      <c r="B20" s="185"/>
      <c r="C20" s="188" t="s">
        <v>112</v>
      </c>
      <c r="D20" s="101"/>
      <c r="E20" s="102"/>
      <c r="F20" s="106"/>
      <c r="G20" s="105"/>
      <c r="H20" s="105"/>
      <c r="I20" s="118"/>
      <c r="J20" s="103"/>
      <c r="K20" s="104"/>
      <c r="L20" s="104"/>
      <c r="M20" s="102"/>
      <c r="N20" s="106"/>
      <c r="O20" s="105"/>
      <c r="P20" s="105"/>
      <c r="Q20" s="102"/>
      <c r="R20" s="106"/>
      <c r="S20" s="107"/>
    </row>
    <row r="21" spans="2:19" ht="12" customHeight="1" x14ac:dyDescent="0.3">
      <c r="B21" s="185"/>
      <c r="C21" s="187"/>
      <c r="D21" s="94"/>
      <c r="E21" s="95"/>
      <c r="F21" s="99"/>
      <c r="G21" s="98"/>
      <c r="H21" s="98"/>
      <c r="I21" s="95"/>
      <c r="J21" s="99"/>
      <c r="K21" s="98"/>
      <c r="L21" s="98"/>
      <c r="M21" s="95"/>
      <c r="N21" s="120"/>
      <c r="O21" s="98"/>
      <c r="P21" s="98"/>
      <c r="Q21" s="95"/>
      <c r="R21" s="99"/>
      <c r="S21" s="100"/>
    </row>
    <row r="22" spans="2:19" ht="12" customHeight="1" x14ac:dyDescent="0.3">
      <c r="B22" s="185"/>
      <c r="C22" s="188" t="s">
        <v>113</v>
      </c>
      <c r="D22" s="101"/>
      <c r="E22" s="102"/>
      <c r="F22" s="106"/>
      <c r="G22" s="105"/>
      <c r="H22" s="105"/>
      <c r="I22" s="102"/>
      <c r="J22" s="106"/>
      <c r="K22" s="104"/>
      <c r="L22" s="104"/>
      <c r="M22" s="102"/>
      <c r="N22" s="106"/>
      <c r="O22" s="105"/>
      <c r="P22" s="105"/>
      <c r="Q22" s="102"/>
      <c r="R22" s="106"/>
      <c r="S22" s="107"/>
    </row>
    <row r="23" spans="2:19" ht="12" customHeight="1" x14ac:dyDescent="0.3">
      <c r="B23" s="197"/>
      <c r="C23" s="198"/>
      <c r="D23" s="108"/>
      <c r="E23" s="109"/>
      <c r="F23" s="110"/>
      <c r="G23" s="112"/>
      <c r="H23" s="112"/>
      <c r="I23" s="109"/>
      <c r="J23" s="110"/>
      <c r="K23" s="112"/>
      <c r="L23" s="112"/>
      <c r="M23" s="109"/>
      <c r="N23" s="110"/>
      <c r="O23" s="112"/>
      <c r="P23" s="112"/>
      <c r="Q23" s="109"/>
      <c r="R23" s="110"/>
      <c r="S23" s="113"/>
    </row>
    <row r="24" spans="2:19" ht="12" customHeight="1" x14ac:dyDescent="0.3">
      <c r="B24" s="184" t="s">
        <v>114</v>
      </c>
      <c r="C24" s="186" t="s">
        <v>115</v>
      </c>
      <c r="D24" s="88"/>
      <c r="E24" s="89"/>
      <c r="F24" s="92"/>
      <c r="G24" s="91"/>
      <c r="H24" s="91"/>
      <c r="I24" s="89"/>
      <c r="J24" s="92"/>
      <c r="K24" s="91"/>
      <c r="L24" s="91"/>
      <c r="M24" s="115"/>
      <c r="N24" s="90"/>
      <c r="O24" s="114"/>
      <c r="P24" s="114"/>
      <c r="Q24" s="89"/>
      <c r="R24" s="92"/>
      <c r="S24" s="93"/>
    </row>
    <row r="25" spans="2:19" ht="12" customHeight="1" x14ac:dyDescent="0.3">
      <c r="B25" s="185"/>
      <c r="C25" s="187"/>
      <c r="D25" s="94"/>
      <c r="E25" s="95"/>
      <c r="F25" s="99"/>
      <c r="G25" s="98"/>
      <c r="H25" s="98"/>
      <c r="I25" s="95"/>
      <c r="J25" s="99"/>
      <c r="K25" s="98"/>
      <c r="L25" s="98"/>
      <c r="M25" s="95"/>
      <c r="N25" s="99"/>
      <c r="O25" s="98"/>
      <c r="P25" s="98"/>
      <c r="Q25" s="95"/>
      <c r="R25" s="99"/>
      <c r="S25" s="100"/>
    </row>
    <row r="26" spans="2:19" ht="12" customHeight="1" x14ac:dyDescent="0.3">
      <c r="B26" s="185"/>
      <c r="C26" s="188" t="s">
        <v>116</v>
      </c>
      <c r="D26" s="101"/>
      <c r="E26" s="102"/>
      <c r="F26" s="106"/>
      <c r="G26" s="105"/>
      <c r="H26" s="105"/>
      <c r="I26" s="102"/>
      <c r="J26" s="106"/>
      <c r="K26" s="105"/>
      <c r="L26" s="105"/>
      <c r="M26" s="102"/>
      <c r="N26" s="106"/>
      <c r="O26" s="104"/>
      <c r="P26" s="104"/>
      <c r="Q26" s="102"/>
      <c r="R26" s="106"/>
      <c r="S26" s="107"/>
    </row>
    <row r="27" spans="2:19" ht="12" customHeight="1" x14ac:dyDescent="0.3">
      <c r="B27" s="185"/>
      <c r="C27" s="187"/>
      <c r="D27" s="94"/>
      <c r="E27" s="95"/>
      <c r="F27" s="99"/>
      <c r="G27" s="98"/>
      <c r="H27" s="98"/>
      <c r="I27" s="95"/>
      <c r="J27" s="99"/>
      <c r="K27" s="98"/>
      <c r="L27" s="98"/>
      <c r="M27" s="95"/>
      <c r="N27" s="99"/>
      <c r="O27" s="98"/>
      <c r="P27" s="98"/>
      <c r="Q27" s="95"/>
      <c r="R27" s="99"/>
      <c r="S27" s="100"/>
    </row>
    <row r="28" spans="2:19" ht="12" customHeight="1" x14ac:dyDescent="0.3">
      <c r="B28" s="185"/>
      <c r="C28" s="188" t="s">
        <v>117</v>
      </c>
      <c r="D28" s="101"/>
      <c r="E28" s="102"/>
      <c r="F28" s="106"/>
      <c r="G28" s="105"/>
      <c r="H28" s="105"/>
      <c r="I28" s="102"/>
      <c r="J28" s="106"/>
      <c r="K28" s="105"/>
      <c r="L28" s="105"/>
      <c r="M28" s="102"/>
      <c r="N28" s="106"/>
      <c r="O28" s="105"/>
      <c r="P28" s="104"/>
      <c r="Q28" s="118"/>
      <c r="R28" s="106"/>
      <c r="S28" s="107"/>
    </row>
    <row r="29" spans="2:19" ht="12" customHeight="1" x14ac:dyDescent="0.3">
      <c r="B29" s="185"/>
      <c r="C29" s="189"/>
      <c r="D29" s="121"/>
      <c r="E29" s="122"/>
      <c r="F29" s="123"/>
      <c r="G29" s="124"/>
      <c r="H29" s="125"/>
      <c r="I29" s="122"/>
      <c r="J29" s="123"/>
      <c r="K29" s="124"/>
      <c r="L29" s="125"/>
      <c r="M29" s="122"/>
      <c r="N29" s="126"/>
      <c r="O29" s="125"/>
      <c r="P29" s="124"/>
      <c r="Q29" s="122"/>
      <c r="R29" s="123"/>
      <c r="S29" s="127"/>
    </row>
    <row r="30" spans="2:19" ht="12" customHeight="1" x14ac:dyDescent="0.3">
      <c r="B30" s="190" t="s">
        <v>6</v>
      </c>
      <c r="C30" s="193" t="s">
        <v>118</v>
      </c>
      <c r="D30" s="88"/>
      <c r="E30" s="128"/>
      <c r="F30" s="129"/>
      <c r="G30" s="129"/>
      <c r="H30" s="130"/>
      <c r="I30" s="131"/>
      <c r="J30" s="129"/>
      <c r="K30" s="129"/>
      <c r="L30" s="130"/>
      <c r="M30" s="131"/>
      <c r="N30" s="129"/>
      <c r="O30" s="130"/>
      <c r="P30" s="129"/>
      <c r="Q30" s="131"/>
      <c r="R30" s="129"/>
      <c r="S30" s="132"/>
    </row>
    <row r="31" spans="2:19" ht="12" customHeight="1" x14ac:dyDescent="0.3">
      <c r="B31" s="191"/>
      <c r="C31" s="194"/>
      <c r="D31" s="94"/>
      <c r="E31" s="133"/>
      <c r="F31" s="134"/>
      <c r="G31" s="134"/>
      <c r="H31" s="135"/>
      <c r="I31" s="136"/>
      <c r="J31" s="134"/>
      <c r="K31" s="137"/>
      <c r="L31" s="135"/>
      <c r="M31" s="136"/>
      <c r="N31" s="134"/>
      <c r="O31" s="135"/>
      <c r="P31" s="134"/>
      <c r="Q31" s="136"/>
      <c r="R31" s="134"/>
      <c r="S31" s="100"/>
    </row>
    <row r="32" spans="2:19" ht="12" customHeight="1" x14ac:dyDescent="0.3">
      <c r="B32" s="191"/>
      <c r="C32" s="194" t="s">
        <v>6</v>
      </c>
      <c r="D32" s="101"/>
      <c r="E32" s="138"/>
      <c r="F32" s="139"/>
      <c r="G32" s="139"/>
      <c r="H32" s="140"/>
      <c r="I32" s="141"/>
      <c r="J32" s="139"/>
      <c r="K32" s="139"/>
      <c r="L32" s="140"/>
      <c r="M32" s="141"/>
      <c r="N32" s="139"/>
      <c r="O32" s="140"/>
      <c r="P32" s="139"/>
      <c r="Q32" s="141"/>
      <c r="R32" s="139"/>
      <c r="S32" s="142"/>
    </row>
    <row r="33" spans="2:22" ht="12" customHeight="1" x14ac:dyDescent="0.3">
      <c r="B33" s="191"/>
      <c r="C33" s="194"/>
      <c r="D33" s="94"/>
      <c r="E33" s="133"/>
      <c r="F33" s="137"/>
      <c r="G33" s="134"/>
      <c r="H33" s="143"/>
      <c r="I33" s="144"/>
      <c r="J33" s="134"/>
      <c r="K33" s="137"/>
      <c r="L33" s="135"/>
      <c r="M33" s="136"/>
      <c r="N33" s="134"/>
      <c r="O33" s="135"/>
      <c r="P33" s="134"/>
      <c r="Q33" s="136"/>
      <c r="R33" s="134"/>
      <c r="S33" s="100"/>
    </row>
    <row r="34" spans="2:22" ht="12" customHeight="1" x14ac:dyDescent="0.3">
      <c r="B34" s="191"/>
      <c r="C34" s="187" t="s">
        <v>119</v>
      </c>
      <c r="D34" s="121"/>
      <c r="E34" s="145"/>
      <c r="F34" s="146"/>
      <c r="G34" s="146"/>
      <c r="H34" s="147"/>
      <c r="I34" s="148"/>
      <c r="J34" s="146"/>
      <c r="K34" s="146"/>
      <c r="L34" s="147"/>
      <c r="M34" s="148"/>
      <c r="N34" s="146"/>
      <c r="O34" s="147"/>
      <c r="P34" s="146"/>
      <c r="Q34" s="148"/>
      <c r="R34" s="146"/>
      <c r="S34" s="149"/>
      <c r="U34" s="150"/>
      <c r="V34" s="151" t="s">
        <v>120</v>
      </c>
    </row>
    <row r="35" spans="2:22" ht="13.8" customHeight="1" x14ac:dyDescent="0.3">
      <c r="B35" s="192"/>
      <c r="C35" s="195"/>
      <c r="D35" s="108"/>
      <c r="E35" s="152"/>
      <c r="F35" s="153"/>
      <c r="G35" s="153"/>
      <c r="H35" s="154"/>
      <c r="I35" s="155"/>
      <c r="J35" s="153"/>
      <c r="K35" s="153"/>
      <c r="L35" s="154"/>
      <c r="M35" s="155"/>
      <c r="N35" s="153"/>
      <c r="O35" s="154"/>
      <c r="P35" s="153"/>
      <c r="Q35" s="155"/>
      <c r="R35" s="153"/>
      <c r="S35" s="113"/>
      <c r="U35" s="156"/>
      <c r="V35" s="157" t="s">
        <v>121</v>
      </c>
    </row>
  </sheetData>
  <mergeCells count="28">
    <mergeCell ref="R2:S2"/>
    <mergeCell ref="B4:B11"/>
    <mergeCell ref="C4:C5"/>
    <mergeCell ref="C6:C7"/>
    <mergeCell ref="U6:V6"/>
    <mergeCell ref="C8:C9"/>
    <mergeCell ref="C10:C11"/>
    <mergeCell ref="B2:B3"/>
    <mergeCell ref="C2:C3"/>
    <mergeCell ref="F2:I2"/>
    <mergeCell ref="J2:M2"/>
    <mergeCell ref="N2:Q2"/>
    <mergeCell ref="B12:B17"/>
    <mergeCell ref="C12:C13"/>
    <mergeCell ref="C14:C15"/>
    <mergeCell ref="C16:C17"/>
    <mergeCell ref="B18:B23"/>
    <mergeCell ref="C18:C19"/>
    <mergeCell ref="C20:C21"/>
    <mergeCell ref="C22:C23"/>
    <mergeCell ref="B24:B29"/>
    <mergeCell ref="C24:C25"/>
    <mergeCell ref="C26:C27"/>
    <mergeCell ref="C28:C29"/>
    <mergeCell ref="B30:B35"/>
    <mergeCell ref="C30:C31"/>
    <mergeCell ref="C32:C33"/>
    <mergeCell ref="C34:C35"/>
  </mergeCells>
  <pageMargins left="0.25" right="0.25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A02AC10A-EA63-459D-957C-1674FE91C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Journal</vt:lpstr>
      <vt:lpstr>SommeParJours</vt:lpstr>
      <vt:lpstr>Plannification</vt:lpstr>
      <vt:lpstr>PlanificationExemple</vt:lpstr>
      <vt:lpstr>Journal!Zone_d_impression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Hofer Lukas</cp:lastModifiedBy>
  <cp:revision>46</cp:revision>
  <dcterms:created xsi:type="dcterms:W3CDTF">2025-03-25T12:56:59Z</dcterms:created>
  <dcterms:modified xsi:type="dcterms:W3CDTF">2026-05-17T17:05:17Z</dcterms:modified>
</cp:coreProperties>
</file>