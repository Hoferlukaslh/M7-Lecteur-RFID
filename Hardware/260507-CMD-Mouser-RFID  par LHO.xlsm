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kas\Desktop\m7-Lecteur-RFID\Hardware\"/>
    </mc:Choice>
  </mc:AlternateContent>
  <xr:revisionPtr revIDLastSave="0" documentId="13_ncr:1_{2E61C4FC-8F74-4C8D-BB18-1910EFE42CCB}" xr6:coauthVersionLast="47" xr6:coauthVersionMax="47" xr10:uidLastSave="{00000000-0000-0000-0000-000000000000}"/>
  <bookViews>
    <workbookView xWindow="15264" yWindow="0" windowWidth="15552" windowHeight="16656" xr2:uid="{924A1387-ACB8-403E-A7A7-6DDD86E0F5E9}"/>
  </bookViews>
  <sheets>
    <sheet name="Feuille Sauvegarde" sheetId="1" r:id="rId1"/>
  </sheets>
  <externalReferences>
    <externalReference r:id="rId2"/>
  </externalReferences>
  <definedNames>
    <definedName name="Famille">[1]Configuration!$A$7:$A$50</definedName>
    <definedName name="Fournisseur">[1]Fournisseurs!$A$4:$A$98</definedName>
    <definedName name="Initiales">[1]Configuration!$E$7:$E$50</definedName>
    <definedName name="Section">[1]Configuration!$B$8:$B$50</definedName>
    <definedName name="Utilisateurs">[1]Configuration!$F$7:$F$50</definedName>
    <definedName name="Utilisation">[1]Configuration!$D$7:$D$15</definedName>
    <definedName name="Z_55A67D92_DF61_4D17_BE62_792BE7CD9FD3_.wvu.Cols" localSheetId="0" hidden="1">'Feuille Sauvegarde'!$J:$FF</definedName>
    <definedName name="Z_55A67D92_DF61_4D17_BE62_792BE7CD9FD3_.wvu.PrintArea" localSheetId="0" hidden="1">'Feuille Sauvegarde'!$B$1:$I$39</definedName>
    <definedName name="Z_7EB3FCEF_6D9B_4C92_AAD1_77F5A7D8F9AD_.wvu.PrintArea" localSheetId="0" hidden="1">'Feuille Sauvegarde'!$B$1:$I$39</definedName>
    <definedName name="Z_A9E344BE_99BE_4A74_9EF9_D63B60DBF065_.wvu.Cols" localSheetId="0" hidden="1">'Feuille Sauvegarde'!#REF!</definedName>
    <definedName name="Z_A9E344BE_99BE_4A74_9EF9_D63B60DBF065_.wvu.PrintArea" localSheetId="0" hidden="1">'Feuille Sauvegarde'!$B$1:$I$39</definedName>
    <definedName name="_xlnm.Print_Area" localSheetId="0">'Feuille Sauvegarde'!$A$1:$H$41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9" i="1" l="1"/>
  <c r="F37" i="1"/>
  <c r="F32" i="1"/>
  <c r="H31" i="1"/>
  <c r="H30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D1" i="1"/>
  <c r="H32" i="1" l="1"/>
  <c r="H34" i="1" l="1"/>
  <c r="H37" i="1" s="1"/>
  <c r="H3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Arnaud Montferme</author>
    <author>montarn</author>
  </authors>
  <commentList>
    <comment ref="A35" authorId="0" shapeId="0" xr:uid="{0766311C-DA97-4382-B2CE-767FA5B15205}">
      <text>
        <r>
          <rPr>
            <b/>
            <sz val="10"/>
            <color indexed="81"/>
            <rFont val="Tahoma"/>
            <family val="2"/>
          </rPr>
          <t xml:space="preserve">Initiales du créateur de la commande : utilisé dans le nom de fichier
</t>
        </r>
      </text>
    </comment>
    <comment ref="E36" authorId="0" shapeId="0" xr:uid="{8A40A625-7676-4206-A0B0-BC7259E6EE2E}">
      <text>
        <r>
          <rPr>
            <sz val="11"/>
            <color indexed="81"/>
            <rFont val="Tahoma"/>
            <family val="2"/>
          </rPr>
          <t xml:space="preserve">Si vous faite plusieures commandes le même jour, changer l'indice pour les différencier.
L'indice est inséré à la fin de vos initiales dans le nom de fichier
</t>
        </r>
      </text>
    </comment>
    <comment ref="A41" authorId="1" shapeId="0" xr:uid="{46F39FC5-9C34-47ED-8E64-13B87FEC30D4}">
      <text>
        <r>
          <rPr>
            <b/>
            <sz val="10"/>
            <color indexed="81"/>
            <rFont val="Tahoma"/>
            <family val="2"/>
          </rPr>
          <t>Pensez à Modifier le chemin de sauvegarde de vos commandes dans l'onglet configuration</t>
        </r>
        <r>
          <rPr>
            <sz val="10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<sst xmlns="http://schemas.openxmlformats.org/spreadsheetml/2006/main" count="74" uniqueCount="74">
  <si>
    <t>SECTION</t>
  </si>
  <si>
    <t>I40</t>
  </si>
  <si>
    <t>Fournisseur</t>
  </si>
  <si>
    <t>Raison sociale :</t>
  </si>
  <si>
    <t>Mouser</t>
  </si>
  <si>
    <t>Smart Factory</t>
  </si>
  <si>
    <t>Rue :</t>
  </si>
  <si>
    <t>Commande par internet</t>
  </si>
  <si>
    <t>NP/Localité :</t>
  </si>
  <si>
    <t>Utilisation</t>
  </si>
  <si>
    <t>Consommables</t>
  </si>
  <si>
    <t>Tél / Fax :</t>
  </si>
  <si>
    <t>0041 41 763 01 50</t>
  </si>
  <si>
    <t>Fax</t>
  </si>
  <si>
    <t>Famille</t>
  </si>
  <si>
    <t>Email :</t>
  </si>
  <si>
    <t>switzerland@mouser.com</t>
  </si>
  <si>
    <t>N° inventaire</t>
  </si>
  <si>
    <t>Réf.fournisseur</t>
  </si>
  <si>
    <t>Libellé article</t>
  </si>
  <si>
    <t>Quantité</t>
  </si>
  <si>
    <t>Prix unitaire</t>
  </si>
  <si>
    <t>Rabais</t>
  </si>
  <si>
    <t>Prix</t>
  </si>
  <si>
    <t>Remarque :</t>
  </si>
  <si>
    <t>Indiquez d'un X le matériel a inventorier et utilisez la case pour indiquer le numéro d'inventaire existant.</t>
  </si>
  <si>
    <t xml:space="preserve">Etabli Par : </t>
  </si>
  <si>
    <t>Date Création</t>
  </si>
  <si>
    <t>Rabais Ecole</t>
  </si>
  <si>
    <t>Visa Coordinateur</t>
  </si>
  <si>
    <t>Visa Direction</t>
  </si>
  <si>
    <t>Frais de port</t>
  </si>
  <si>
    <t>Total CHF</t>
  </si>
  <si>
    <t>Nom de fichier :</t>
  </si>
  <si>
    <t>https://divtec.sharepoint.com/groupe_industrie40/Documents%20partages/01%20Gestion%20Mat%C3%A9riel/20-Commandes/CMD%202025/250124-CMD-Mouser-Consommables Automatique  par AMO- I1-.XLS</t>
  </si>
  <si>
    <t>Electronique</t>
  </si>
  <si>
    <t>LHO</t>
  </si>
  <si>
    <t>Hofer</t>
  </si>
  <si>
    <t>BX36_R1</t>
  </si>
  <si>
    <t>SMAJ28A</t>
  </si>
  <si>
    <t>DM-OLED096-636</t>
  </si>
  <si>
    <t>LED</t>
  </si>
  <si>
    <t>PTC 1A</t>
  </si>
  <si>
    <t>TB0011-350-04GR</t>
  </si>
  <si>
    <t>300 µH</t>
  </si>
  <si>
    <t>5 mH</t>
  </si>
  <si>
    <t>TSR_1-2433E</t>
  </si>
  <si>
    <t>SLW-874744</t>
  </si>
  <si>
    <t>XIAO-ESP32-C6-DIP</t>
  </si>
  <si>
    <t>MAX3485CSA_T</t>
  </si>
  <si>
    <t>20D470K</t>
  </si>
  <si>
    <t>581-REF1020471M050K</t>
  </si>
  <si>
    <t>81-GRM319R61H475KA2D</t>
  </si>
  <si>
    <t>187-CL31A106MBHNNNE</t>
  </si>
  <si>
    <t>81-RDEC71H226MWK1H3B</t>
  </si>
  <si>
    <t>241-BX36_R1_00001</t>
  </si>
  <si>
    <t>603-SMAJ28A/TR13</t>
  </si>
  <si>
    <t>392-CSANAVIDISPLAY1</t>
  </si>
  <si>
    <t>859-LTST-C150AKT</t>
  </si>
  <si>
    <t>652-MFR050</t>
  </si>
  <si>
    <t>179-TB0011-350-04GR</t>
  </si>
  <si>
    <t>710-7447060</t>
  </si>
  <si>
    <t>80-SS11VL-11050</t>
  </si>
  <si>
    <t>495-TSR1-2433E</t>
  </si>
  <si>
    <t>179-SLW8747446ARAND</t>
  </si>
  <si>
    <t>713-113991114</t>
  </si>
  <si>
    <t>700-MAX3485CSAT</t>
  </si>
  <si>
    <t>652-MOV-20D470K</t>
  </si>
  <si>
    <t>538-146153-0100</t>
  </si>
  <si>
    <t xml:space="preserve">Antennes plates </t>
  </si>
  <si>
    <t>470µF 50V</t>
  </si>
  <si>
    <t>4.7μF 50V</t>
  </si>
  <si>
    <t>10µF 50V</t>
  </si>
  <si>
    <t>22µF 50V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</si>
</sst>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;;"/>
    <numFmt numFmtId="165" formatCode="#,##0.00;\-#,##0.00;"/>
    <numFmt numFmtId="166" formatCode="0.0%"/>
    <numFmt numFmtId="167" formatCode="dd\ mmmm\ yyyy"/>
    <numFmt numFmtId="168" formatCode="0.0%;;"/>
  </numFmts>
  <fonts count="28" x14ac:knownFonts="1">
    <font>
      <sz val="10"/>
      <name val="Arial"/>
      <family val="2"/>
    </font>
    <font>
      <sz val="10"/>
      <name val="Arial"/>
      <family val="2"/>
    </font>
    <font>
      <sz val="18"/>
      <name val="Arial"/>
      <family val="2"/>
    </font>
    <font>
      <sz val="24"/>
      <name val="Arial"/>
      <family val="2"/>
    </font>
    <font>
      <sz val="18"/>
      <color indexed="9"/>
      <name val="Arial"/>
      <family val="2"/>
    </font>
    <font>
      <b/>
      <sz val="26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sz val="22"/>
      <name val="Arial"/>
      <family val="2"/>
    </font>
    <font>
      <sz val="9"/>
      <name val="Arial"/>
      <family val="2"/>
    </font>
    <font>
      <sz val="12"/>
      <color indexed="9"/>
      <name val="Arial"/>
      <family val="2"/>
    </font>
    <font>
      <sz val="12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10"/>
      <color indexed="81"/>
      <name val="Tahoma"/>
      <family val="2"/>
    </font>
    <font>
      <sz val="11"/>
      <color indexed="81"/>
      <name val="Tahoma"/>
      <family val="2"/>
    </font>
    <font>
      <sz val="10"/>
      <color indexed="81"/>
      <name val="Tahoma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49" fontId="0" fillId="0" borderId="0"/>
  </cellStyleXfs>
  <cellXfs count="114">
    <xf numFmtId="49" fontId="0" fillId="0" borderId="0" xfId="0"/>
    <xf numFmtId="2" fontId="4" fillId="2" borderId="0" xfId="0" applyNumberFormat="1" applyFont="1" applyFill="1" applyAlignment="1">
      <alignment vertical="center"/>
    </xf>
    <xf numFmtId="2" fontId="2" fillId="2" borderId="0" xfId="0" applyNumberFormat="1" applyFont="1" applyFill="1" applyAlignment="1">
      <alignment vertical="center"/>
    </xf>
    <xf numFmtId="2" fontId="0" fillId="0" borderId="0" xfId="0" applyNumberFormat="1" applyAlignment="1">
      <alignment vertical="center"/>
    </xf>
    <xf numFmtId="2" fontId="0" fillId="0" borderId="0" xfId="0" applyNumberFormat="1" applyAlignment="1">
      <alignment horizontal="right" vertical="center" indent="4"/>
    </xf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 applyProtection="1">
      <alignment horizontal="left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2" fontId="0" fillId="0" borderId="2" xfId="0" applyNumberFormat="1" applyBorder="1" applyAlignment="1">
      <alignment vertical="center"/>
    </xf>
    <xf numFmtId="2" fontId="8" fillId="0" borderId="0" xfId="0" applyNumberFormat="1" applyFont="1" applyAlignment="1">
      <alignment vertical="center"/>
    </xf>
    <xf numFmtId="0" fontId="0" fillId="0" borderId="0" xfId="0" applyNumberFormat="1" applyAlignment="1" applyProtection="1">
      <alignment horizontal="left" vertical="center"/>
      <protection locked="0"/>
    </xf>
    <xf numFmtId="2" fontId="6" fillId="0" borderId="1" xfId="0" applyNumberFormat="1" applyFont="1" applyBorder="1" applyAlignment="1" applyProtection="1">
      <alignment horizontal="left" vertical="center"/>
      <protection locked="0"/>
    </xf>
    <xf numFmtId="2" fontId="0" fillId="0" borderId="3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right" vertical="center"/>
    </xf>
    <xf numFmtId="2" fontId="0" fillId="0" borderId="1" xfId="0" applyNumberFormat="1" applyBorder="1" applyAlignment="1">
      <alignment vertical="center"/>
    </xf>
    <xf numFmtId="2" fontId="6" fillId="3" borderId="4" xfId="0" applyNumberFormat="1" applyFont="1" applyFill="1" applyBorder="1" applyAlignment="1">
      <alignment horizontal="center" vertical="center"/>
    </xf>
    <xf numFmtId="2" fontId="6" fillId="3" borderId="3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 applyProtection="1">
      <alignment vertical="center"/>
      <protection locked="0"/>
    </xf>
    <xf numFmtId="1" fontId="9" fillId="0" borderId="3" xfId="0" applyNumberFormat="1" applyFont="1" applyBorder="1" applyAlignment="1" applyProtection="1">
      <alignment horizontal="left" vertical="center" indent="2"/>
      <protection locked="0"/>
    </xf>
    <xf numFmtId="2" fontId="9" fillId="0" borderId="3" xfId="0" applyNumberFormat="1" applyFont="1" applyBorder="1" applyAlignment="1" applyProtection="1">
      <alignment horizontal="left" vertical="center" indent="2"/>
      <protection locked="0"/>
    </xf>
    <xf numFmtId="2" fontId="9" fillId="0" borderId="4" xfId="0" applyNumberFormat="1" applyFont="1" applyBorder="1" applyAlignment="1" applyProtection="1">
      <alignment horizontal="center" vertical="center"/>
      <protection locked="0"/>
    </xf>
    <xf numFmtId="165" fontId="9" fillId="0" borderId="3" xfId="0" applyNumberFormat="1" applyFont="1" applyBorder="1" applyAlignment="1" applyProtection="1">
      <alignment horizontal="right" vertical="center" indent="1"/>
      <protection locked="0"/>
    </xf>
    <xf numFmtId="166" fontId="9" fillId="0" borderId="3" xfId="0" applyNumberFormat="1" applyFont="1" applyBorder="1" applyAlignment="1" applyProtection="1">
      <alignment horizontal="center" vertical="center"/>
      <protection locked="0"/>
    </xf>
    <xf numFmtId="165" fontId="9" fillId="0" borderId="3" xfId="0" applyNumberFormat="1" applyFont="1" applyBorder="1" applyAlignment="1">
      <alignment horizontal="right" vertical="center" indent="1"/>
    </xf>
    <xf numFmtId="2" fontId="10" fillId="2" borderId="0" xfId="0" applyNumberFormat="1" applyFont="1" applyFill="1" applyAlignment="1">
      <alignment vertical="center"/>
    </xf>
    <xf numFmtId="2" fontId="11" fillId="2" borderId="0" xfId="0" applyNumberFormat="1" applyFont="1" applyFill="1" applyAlignment="1">
      <alignment vertical="center"/>
    </xf>
    <xf numFmtId="2" fontId="11" fillId="0" borderId="0" xfId="0" applyNumberFormat="1" applyFont="1" applyAlignment="1">
      <alignment vertical="center"/>
    </xf>
    <xf numFmtId="2" fontId="2" fillId="2" borderId="0" xfId="0" applyNumberFormat="1" applyFont="1" applyFill="1" applyAlignment="1" applyProtection="1">
      <alignment vertical="center"/>
      <protection locked="0"/>
    </xf>
    <xf numFmtId="2" fontId="11" fillId="2" borderId="0" xfId="0" applyNumberFormat="1" applyFont="1" applyFill="1" applyAlignment="1" applyProtection="1">
      <alignment vertical="center"/>
      <protection locked="0"/>
    </xf>
    <xf numFmtId="49" fontId="10" fillId="0" borderId="0" xfId="0" applyFont="1" applyAlignment="1">
      <alignment vertical="center"/>
    </xf>
    <xf numFmtId="165" fontId="14" fillId="0" borderId="5" xfId="0" applyNumberFormat="1" applyFont="1" applyBorder="1" applyAlignment="1">
      <alignment horizontal="right" vertical="center" indent="1"/>
    </xf>
    <xf numFmtId="0" fontId="6" fillId="0" borderId="3" xfId="0" applyNumberFormat="1" applyFont="1" applyBorder="1" applyAlignment="1">
      <alignment vertical="center"/>
    </xf>
    <xf numFmtId="165" fontId="14" fillId="0" borderId="6" xfId="0" applyNumberFormat="1" applyFont="1" applyBorder="1" applyAlignment="1">
      <alignment horizontal="right" vertical="center" indent="1"/>
    </xf>
    <xf numFmtId="49" fontId="10" fillId="2" borderId="0" xfId="0" applyFont="1" applyFill="1" applyAlignment="1">
      <alignment vertical="center"/>
    </xf>
    <xf numFmtId="0" fontId="0" fillId="0" borderId="3" xfId="0" applyNumberFormat="1" applyBorder="1" applyAlignment="1" applyProtection="1">
      <alignment horizontal="center" vertical="center"/>
      <protection locked="0"/>
    </xf>
    <xf numFmtId="167" fontId="16" fillId="0" borderId="3" xfId="0" applyNumberFormat="1" applyFont="1" applyBorder="1" applyAlignment="1" applyProtection="1">
      <alignment horizontal="center" vertical="center"/>
      <protection locked="0"/>
    </xf>
    <xf numFmtId="0" fontId="6" fillId="0" borderId="7" xfId="0" applyNumberFormat="1" applyFont="1" applyBorder="1" applyAlignment="1">
      <alignment vertical="center"/>
    </xf>
    <xf numFmtId="0" fontId="6" fillId="4" borderId="4" xfId="0" applyNumberFormat="1" applyFont="1" applyFill="1" applyBorder="1" applyAlignment="1">
      <alignment horizontal="center" vertical="center"/>
    </xf>
    <xf numFmtId="168" fontId="1" fillId="4" borderId="8" xfId="0" applyNumberFormat="1" applyFont="1" applyFill="1" applyBorder="1" applyAlignment="1">
      <alignment horizontal="center" vertical="center"/>
    </xf>
    <xf numFmtId="49" fontId="19" fillId="0" borderId="9" xfId="0" applyFont="1" applyBorder="1" applyAlignment="1">
      <alignment vertical="center"/>
    </xf>
    <xf numFmtId="49" fontId="0" fillId="0" borderId="0" xfId="0" applyAlignment="1">
      <alignment horizontal="left" vertical="center"/>
    </xf>
    <xf numFmtId="49" fontId="19" fillId="0" borderId="0" xfId="0" applyFont="1" applyAlignment="1">
      <alignment horizontal="left" vertical="center"/>
    </xf>
    <xf numFmtId="49" fontId="22" fillId="2" borderId="0" xfId="0" applyFont="1" applyFill="1" applyAlignment="1">
      <alignment vertical="center"/>
    </xf>
    <xf numFmtId="2" fontId="21" fillId="2" borderId="0" xfId="0" applyNumberFormat="1" applyFont="1" applyFill="1" applyAlignment="1">
      <alignment vertical="center"/>
    </xf>
    <xf numFmtId="2" fontId="21" fillId="0" borderId="0" xfId="0" applyNumberFormat="1" applyFont="1" applyAlignment="1">
      <alignment vertical="center"/>
    </xf>
    <xf numFmtId="2" fontId="19" fillId="0" borderId="0" xfId="0" applyNumberFormat="1" applyFont="1" applyAlignment="1">
      <alignment vertical="center"/>
    </xf>
    <xf numFmtId="49" fontId="26" fillId="0" borderId="3" xfId="0" applyFont="1" applyBorder="1"/>
    <xf numFmtId="2" fontId="7" fillId="6" borderId="3" xfId="0" applyNumberFormat="1" applyFont="1" applyFill="1" applyBorder="1" applyAlignment="1">
      <alignment horizontal="center" vertical="center"/>
    </xf>
    <xf numFmtId="2" fontId="0" fillId="0" borderId="0" xfId="0" applyNumberFormat="1" applyAlignment="1" applyProtection="1">
      <alignment horizontal="left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164" fontId="0" fillId="0" borderId="1" xfId="0" applyNumberFormat="1" applyBorder="1" applyAlignment="1" applyProtection="1">
      <alignment horizontal="left" vertical="center"/>
      <protection locked="0"/>
    </xf>
    <xf numFmtId="2" fontId="2" fillId="5" borderId="3" xfId="0" applyNumberFormat="1" applyFont="1" applyFill="1" applyBorder="1" applyAlignment="1">
      <alignment horizontal="center" vertical="center"/>
    </xf>
    <xf numFmtId="2" fontId="3" fillId="5" borderId="14" xfId="0" applyNumberFormat="1" applyFont="1" applyFill="1" applyBorder="1" applyAlignment="1">
      <alignment horizontal="center" vertical="center"/>
    </xf>
    <xf numFmtId="2" fontId="3" fillId="5" borderId="8" xfId="0" applyNumberFormat="1" applyFont="1" applyFill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6" fillId="0" borderId="12" xfId="0" applyNumberFormat="1" applyFont="1" applyBorder="1" applyAlignment="1">
      <alignment horizontal="center" vertical="center"/>
    </xf>
    <xf numFmtId="2" fontId="6" fillId="0" borderId="13" xfId="0" applyNumberFormat="1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 applyProtection="1">
      <alignment horizontal="left" vertical="center"/>
      <protection locked="0"/>
    </xf>
    <xf numFmtId="2" fontId="6" fillId="0" borderId="14" xfId="0" applyNumberFormat="1" applyFont="1" applyBorder="1" applyAlignment="1" applyProtection="1">
      <alignment horizontal="left" vertical="center"/>
      <protection locked="0"/>
    </xf>
    <xf numFmtId="2" fontId="6" fillId="0" borderId="8" xfId="0" applyNumberFormat="1" applyFont="1" applyBorder="1" applyAlignment="1" applyProtection="1">
      <alignment horizontal="left" vertical="center"/>
      <protection locked="0"/>
    </xf>
    <xf numFmtId="2" fontId="6" fillId="0" borderId="4" xfId="0" applyNumberFormat="1" applyFont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2" fontId="6" fillId="3" borderId="4" xfId="0" applyNumberFormat="1" applyFont="1" applyFill="1" applyBorder="1" applyAlignment="1">
      <alignment horizontal="center" vertical="center"/>
    </xf>
    <xf numFmtId="2" fontId="6" fillId="3" borderId="8" xfId="0" applyNumberFormat="1" applyFont="1" applyFill="1" applyBorder="1" applyAlignment="1">
      <alignment horizontal="center" vertical="center"/>
    </xf>
    <xf numFmtId="49" fontId="12" fillId="0" borderId="2" xfId="0" applyFont="1" applyBorder="1" applyAlignment="1">
      <alignment horizontal="center" vertical="center"/>
    </xf>
    <xf numFmtId="49" fontId="12" fillId="0" borderId="1" xfId="0" applyFont="1" applyBorder="1" applyAlignment="1">
      <alignment horizontal="center" vertical="center"/>
    </xf>
    <xf numFmtId="49" fontId="1" fillId="0" borderId="2" xfId="0" applyFont="1" applyBorder="1" applyAlignment="1">
      <alignment horizontal="center" vertical="center" wrapText="1"/>
    </xf>
    <xf numFmtId="49" fontId="1" fillId="0" borderId="0" xfId="0" applyFont="1" applyAlignment="1">
      <alignment horizontal="center" vertical="center" wrapText="1"/>
    </xf>
    <xf numFmtId="49" fontId="1" fillId="0" borderId="1" xfId="0" applyFont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/>
    </xf>
    <xf numFmtId="165" fontId="14" fillId="0" borderId="7" xfId="0" applyNumberFormat="1" applyFont="1" applyBorder="1" applyAlignment="1">
      <alignment horizontal="right" vertical="center" indent="1"/>
    </xf>
    <xf numFmtId="165" fontId="14" fillId="0" borderId="5" xfId="0" applyNumberFormat="1" applyFont="1" applyBorder="1" applyAlignment="1">
      <alignment horizontal="right" vertical="center" indent="1"/>
    </xf>
    <xf numFmtId="0" fontId="6" fillId="0" borderId="3" xfId="0" applyNumberFormat="1" applyFont="1" applyBorder="1" applyAlignment="1">
      <alignment horizontal="left" vertical="center"/>
    </xf>
    <xf numFmtId="49" fontId="15" fillId="0" borderId="3" xfId="0" applyFont="1" applyBorder="1" applyAlignment="1">
      <alignment horizontal="center" vertical="center"/>
    </xf>
    <xf numFmtId="49" fontId="6" fillId="4" borderId="12" xfId="0" applyFont="1" applyFill="1" applyBorder="1" applyAlignment="1">
      <alignment horizontal="center" vertical="center"/>
    </xf>
    <xf numFmtId="49" fontId="6" fillId="4" borderId="13" xfId="0" applyFont="1" applyFill="1" applyBorder="1" applyAlignment="1">
      <alignment horizontal="center" vertical="center"/>
    </xf>
    <xf numFmtId="165" fontId="14" fillId="0" borderId="6" xfId="0" applyNumberFormat="1" applyFont="1" applyBorder="1" applyAlignment="1">
      <alignment horizontal="right" vertical="center" indent="1"/>
    </xf>
    <xf numFmtId="49" fontId="6" fillId="0" borderId="3" xfId="0" applyFont="1" applyBorder="1" applyAlignment="1" applyProtection="1">
      <alignment horizontal="center" vertical="center"/>
      <protection locked="0"/>
    </xf>
    <xf numFmtId="9" fontId="1" fillId="0" borderId="14" xfId="0" applyNumberFormat="1" applyFont="1" applyBorder="1" applyAlignment="1" applyProtection="1">
      <alignment horizontal="center" vertical="center"/>
      <protection locked="0"/>
    </xf>
    <xf numFmtId="49" fontId="1" fillId="0" borderId="8" xfId="0" applyFont="1" applyBorder="1" applyAlignment="1" applyProtection="1">
      <alignment vertical="center"/>
      <protection locked="0"/>
    </xf>
    <xf numFmtId="165" fontId="18" fillId="0" borderId="6" xfId="0" applyNumberFormat="1" applyFont="1" applyBorder="1" applyAlignment="1">
      <alignment horizontal="center" vertical="center"/>
    </xf>
    <xf numFmtId="165" fontId="18" fillId="0" borderId="5" xfId="0" applyNumberFormat="1" applyFont="1" applyBorder="1" applyAlignment="1">
      <alignment horizontal="center" vertical="center"/>
    </xf>
    <xf numFmtId="49" fontId="20" fillId="0" borderId="3" xfId="0" applyFont="1" applyBorder="1" applyAlignment="1">
      <alignment horizontal="center" vertical="center"/>
    </xf>
    <xf numFmtId="0" fontId="21" fillId="0" borderId="3" xfId="0" applyNumberFormat="1" applyFont="1" applyBorder="1" applyAlignment="1">
      <alignment horizontal="center" vertical="center"/>
    </xf>
    <xf numFmtId="0" fontId="6" fillId="0" borderId="2" xfId="0" applyNumberFormat="1" applyFont="1" applyBorder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6" fillId="0" borderId="1" xfId="0" applyNumberFormat="1" applyFont="1" applyBorder="1" applyAlignment="1">
      <alignment horizontal="left" vertical="center"/>
    </xf>
    <xf numFmtId="49" fontId="2" fillId="0" borderId="7" xfId="0" applyFont="1" applyBorder="1" applyAlignment="1">
      <alignment horizontal="center" vertical="center"/>
    </xf>
    <xf numFmtId="168" fontId="6" fillId="4" borderId="4" xfId="0" applyNumberFormat="1" applyFont="1" applyFill="1" applyBorder="1" applyAlignment="1">
      <alignment horizontal="center" vertical="center"/>
    </xf>
    <xf numFmtId="168" fontId="6" fillId="4" borderId="8" xfId="0" applyNumberFormat="1" applyFont="1" applyFill="1" applyBorder="1" applyAlignment="1">
      <alignment horizontal="center" vertical="center"/>
    </xf>
    <xf numFmtId="49" fontId="0" fillId="0" borderId="2" xfId="0" applyBorder="1" applyAlignment="1">
      <alignment horizontal="center" vertical="center"/>
    </xf>
    <xf numFmtId="49" fontId="0" fillId="0" borderId="0" xfId="0" applyAlignment="1">
      <alignment horizontal="center" vertical="center"/>
    </xf>
    <xf numFmtId="49" fontId="0" fillId="0" borderId="1" xfId="0" applyBorder="1" applyAlignment="1">
      <alignment horizontal="center" vertical="center"/>
    </xf>
    <xf numFmtId="49" fontId="0" fillId="0" borderId="10" xfId="0" applyBorder="1" applyAlignment="1">
      <alignment horizontal="center" vertical="center"/>
    </xf>
    <xf numFmtId="49" fontId="0" fillId="0" borderId="9" xfId="0" applyBorder="1" applyAlignment="1">
      <alignment horizontal="center" vertical="center"/>
    </xf>
    <xf numFmtId="49" fontId="0" fillId="0" borderId="11" xfId="0" applyBorder="1" applyAlignment="1">
      <alignment horizontal="center" vertical="center"/>
    </xf>
    <xf numFmtId="49" fontId="0" fillId="0" borderId="7" xfId="0" applyBorder="1" applyAlignment="1">
      <alignment horizontal="center" vertical="center"/>
    </xf>
    <xf numFmtId="49" fontId="0" fillId="0" borderId="5" xfId="0" applyBorder="1" applyAlignment="1">
      <alignment horizontal="center" vertical="center"/>
    </xf>
    <xf numFmtId="49" fontId="17" fillId="4" borderId="2" xfId="0" applyFont="1" applyFill="1" applyBorder="1" applyAlignment="1">
      <alignment horizontal="center" vertical="center"/>
    </xf>
    <xf numFmtId="49" fontId="17" fillId="4" borderId="1" xfId="0" applyFont="1" applyFill="1" applyBorder="1" applyAlignment="1">
      <alignment horizontal="center" vertical="center"/>
    </xf>
    <xf numFmtId="49" fontId="17" fillId="4" borderId="10" xfId="0" applyFont="1" applyFill="1" applyBorder="1" applyAlignment="1">
      <alignment horizontal="center" vertical="center"/>
    </xf>
    <xf numFmtId="49" fontId="17" fillId="4" borderId="11" xfId="0" applyFont="1" applyFill="1" applyBorder="1" applyAlignment="1">
      <alignment horizontal="center" vertical="center"/>
    </xf>
    <xf numFmtId="2" fontId="9" fillId="0" borderId="3" xfId="0" applyNumberFormat="1" applyFont="1" applyBorder="1" applyAlignment="1" applyProtection="1">
      <alignment horizontal="left" vertical="center"/>
      <protection locked="0"/>
    </xf>
    <xf numFmtId="49" fontId="26" fillId="0" borderId="8" xfId="0" applyFont="1" applyBorder="1" applyAlignment="1">
      <alignment horizontal="left" vertical="top"/>
    </xf>
    <xf numFmtId="2" fontId="0" fillId="0" borderId="3" xfId="0" applyNumberFormat="1" applyBorder="1" applyAlignment="1">
      <alignment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3" xfId="0" applyNumberFormat="1" applyFont="1" applyBorder="1" applyAlignment="1">
      <alignment horizontal="right" vertical="center"/>
    </xf>
    <xf numFmtId="165" fontId="9" fillId="0" borderId="3" xfId="0" applyNumberFormat="1" applyFont="1" applyBorder="1" applyAlignment="1" applyProtection="1">
      <alignment horizontal="right" vertical="center"/>
      <protection locked="0"/>
    </xf>
    <xf numFmtId="165" fontId="9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3</xdr:row>
      <xdr:rowOff>19050</xdr:rowOff>
    </xdr:from>
    <xdr:to>
      <xdr:col>3</xdr:col>
      <xdr:colOff>2657475</xdr:colOff>
      <xdr:row>7</xdr:row>
      <xdr:rowOff>38100</xdr:rowOff>
    </xdr:to>
    <xdr:pic>
      <xdr:nvPicPr>
        <xdr:cNvPr id="1040" name="Picture 183" descr="techEMTc">
          <a:extLst>
            <a:ext uri="{FF2B5EF4-FFF2-40B4-BE49-F238E27FC236}">
              <a16:creationId xmlns:a16="http://schemas.microsoft.com/office/drawing/2014/main" id="{7AA76F49-3FE2-59E9-16CD-2498492CF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650" t="37790" r="28270"/>
        <a:stretch>
          <a:fillRect/>
        </a:stretch>
      </xdr:blipFill>
      <xdr:spPr bwMode="auto">
        <a:xfrm>
          <a:off x="3657600" y="762000"/>
          <a:ext cx="209550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25" name="Button 96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0</xdr:rowOff>
        </xdr:from>
        <xdr:to>
          <xdr:col>7</xdr:col>
          <xdr:colOff>990600</xdr:colOff>
          <xdr:row>0</xdr:row>
          <xdr:rowOff>0</xdr:rowOff>
        </xdr:to>
        <xdr:sp macro="" textlink="">
          <xdr:nvSpPr>
            <xdr:cNvPr id="1026" name="Button 97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Fournisseur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27" name="Button 98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28" name="Button 99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29" name="Button 10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30" name="Button 110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0</xdr:rowOff>
        </xdr:from>
        <xdr:to>
          <xdr:col>7</xdr:col>
          <xdr:colOff>990600</xdr:colOff>
          <xdr:row>0</xdr:row>
          <xdr:rowOff>0</xdr:rowOff>
        </xdr:to>
        <xdr:sp macro="" textlink="">
          <xdr:nvSpPr>
            <xdr:cNvPr id="1031" name="Button 11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Fournisseur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32" name="Button 11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33" name="Button 11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34" name="Button 11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ivtec.sharepoint.com/groupe_industrie40/Documents%20partages/01%20Gestion%20Mat&#233;riel/20-Commandes/Formulaire%20Commandes%202025%20I-4.0.xlsm" TargetMode="External"/><Relationship Id="rId1" Type="http://schemas.openxmlformats.org/officeDocument/2006/relationships/externalLinkPath" Target="https://divtec.sharepoint.com/groupe_industrie40/Documents%20partages/01%20Gestion%20Mat&#233;riel/20-Commandes/Formulaire%20Commandes%202025%20I-4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TgMKhu_Yck6dw_Thjsb8o4tDBuvcUgBPrNmNzD3AbMs74uGcwggGRLuzoWDpD_Gf" itemId="01HTHAYNH2GD5PARC4MVGJW7CISOMTVEYW">
      <xxl21:absoluteUrl r:id="rId2"/>
    </xxl21:alternateUrls>
    <sheetNames>
      <sheetName val="Feuille commande"/>
      <sheetName val="Fournisseurs"/>
      <sheetName val="Configuration"/>
      <sheetName val="Feuille Sauvegarde"/>
    </sheetNames>
    <sheetDataSet>
      <sheetData sheetId="0"/>
      <sheetData sheetId="1">
        <row r="4">
          <cell r="A4" t="str">
            <v xml:space="preserve">3D EDU </v>
          </cell>
        </row>
        <row r="5">
          <cell r="A5" t="str">
            <v>3DJake</v>
          </cell>
        </row>
        <row r="6">
          <cell r="A6" t="str">
            <v>44 Bricks UG</v>
          </cell>
        </row>
        <row r="7">
          <cell r="A7" t="str">
            <v>Adobe</v>
          </cell>
        </row>
        <row r="8">
          <cell r="A8" t="str">
            <v>Adoubs Electricité</v>
          </cell>
        </row>
        <row r="9">
          <cell r="A9" t="str">
            <v>aKKu-Handel.ch</v>
          </cell>
        </row>
        <row r="10">
          <cell r="A10" t="str">
            <v>Ali express</v>
          </cell>
        </row>
        <row r="11">
          <cell r="A11" t="str">
            <v>Amazon</v>
          </cell>
        </row>
        <row r="12">
          <cell r="A12" t="str">
            <v>Apple</v>
          </cell>
        </row>
        <row r="13">
          <cell r="A13" t="str">
            <v>ARP Schweiz AG</v>
          </cell>
        </row>
        <row r="14">
          <cell r="A14" t="str">
            <v>Artisjet France</v>
          </cell>
        </row>
        <row r="15">
          <cell r="A15" t="str">
            <v>Atlassian Pty Ltd</v>
          </cell>
        </row>
        <row r="16">
          <cell r="A16" t="str">
            <v>AVATECH AG</v>
          </cell>
        </row>
        <row r="17">
          <cell r="A17" t="str">
            <v>AZ informatique Sàrl</v>
          </cell>
        </row>
        <row r="18">
          <cell r="A18" t="str">
            <v>Boxtec</v>
          </cell>
        </row>
        <row r="19">
          <cell r="A19" t="str">
            <v>Brack</v>
          </cell>
        </row>
        <row r="20">
          <cell r="A20" t="str">
            <v>Bulb-Shop, Nuno Domingues</v>
          </cell>
        </row>
        <row r="21">
          <cell r="A21" t="str">
            <v>Büwa</v>
          </cell>
        </row>
        <row r="22">
          <cell r="A22" t="str">
            <v>Compendio Bildungsmedien AG</v>
          </cell>
        </row>
        <row r="23">
          <cell r="A23" t="str">
            <v>Conrad Electronic AG</v>
          </cell>
        </row>
        <row r="24">
          <cell r="A24" t="str">
            <v>CreativeStudio</v>
          </cell>
        </row>
        <row r="25">
          <cell r="A25" t="str">
            <v>Dell</v>
          </cell>
        </row>
        <row r="26">
          <cell r="A26" t="str">
            <v>DEMOTEC</v>
          </cell>
        </row>
        <row r="27">
          <cell r="A27" t="str">
            <v>Dexter Industries</v>
          </cell>
        </row>
        <row r="28">
          <cell r="A28" t="str">
            <v>DIGITEC SA</v>
          </cell>
        </row>
        <row r="29">
          <cell r="A29" t="str">
            <v>Dim3nsion 3D</v>
          </cell>
        </row>
        <row r="30">
          <cell r="A30" t="str">
            <v>Disdata</v>
          </cell>
        </row>
        <row r="31">
          <cell r="A31" t="str">
            <v>Distrelec AG</v>
          </cell>
        </row>
        <row r="32">
          <cell r="A32" t="str">
            <v>Dun Mhuire Sands</v>
          </cell>
        </row>
        <row r="33">
          <cell r="A33" t="str">
            <v>EasyGiga</v>
          </cell>
        </row>
        <row r="34">
          <cell r="A34" t="str">
            <v>EBAY</v>
          </cell>
        </row>
        <row r="35">
          <cell r="A35" t="str">
            <v>EBL Télecom AG</v>
          </cell>
        </row>
        <row r="36">
          <cell r="A36" t="str">
            <v>Edition Eni</v>
          </cell>
        </row>
        <row r="37">
          <cell r="A37" t="str">
            <v>EducaTec AG</v>
          </cell>
        </row>
        <row r="38">
          <cell r="A38" t="str">
            <v>Elv Electronik AG</v>
          </cell>
        </row>
        <row r="39">
          <cell r="A39" t="str">
            <v>EPSITEC</v>
          </cell>
        </row>
        <row r="40">
          <cell r="A40" t="str">
            <v>expansys</v>
          </cell>
        </row>
        <row r="41">
          <cell r="A41" t="str">
            <v>Gaerner</v>
          </cell>
        </row>
        <row r="42">
          <cell r="A42" t="str">
            <v>Geneva LOGIC</v>
          </cell>
        </row>
        <row r="43">
          <cell r="A43" t="str">
            <v>Geroco SA</v>
          </cell>
        </row>
        <row r="44">
          <cell r="A44" t="str">
            <v>Gravosig</v>
          </cell>
        </row>
        <row r="45">
          <cell r="A45" t="str">
            <v>GSInformatique</v>
          </cell>
        </row>
        <row r="46">
          <cell r="A46" t="str">
            <v>Hasler + Co SA</v>
          </cell>
        </row>
        <row r="47">
          <cell r="A47" t="str">
            <v>HILPERT Electronics</v>
          </cell>
        </row>
        <row r="48">
          <cell r="A48" t="str">
            <v>Hunziker-Kal SA</v>
          </cell>
        </row>
        <row r="49">
          <cell r="A49" t="str">
            <v xml:space="preserve">Infomaniak Network SA </v>
          </cell>
        </row>
        <row r="50">
          <cell r="A50" t="str">
            <v>Investintech.com Inc.</v>
          </cell>
        </row>
        <row r="51">
          <cell r="A51" t="str">
            <v xml:space="preserve">IPC Computer CH </v>
          </cell>
        </row>
        <row r="52">
          <cell r="A52" t="str">
            <v>JINFO</v>
          </cell>
        </row>
        <row r="53">
          <cell r="A53" t="str">
            <v>JMS info</v>
          </cell>
        </row>
        <row r="54">
          <cell r="A54" t="str">
            <v>Kaiserkraft</v>
          </cell>
        </row>
        <row r="55">
          <cell r="A55" t="str">
            <v>Kolor SARL</v>
          </cell>
        </row>
        <row r="56">
          <cell r="A56" t="str">
            <v>Landi ArcJura SA</v>
          </cell>
        </row>
        <row r="57">
          <cell r="A57" t="str">
            <v>LDLC</v>
          </cell>
        </row>
        <row r="58">
          <cell r="A58" t="str">
            <v>learndash.com</v>
          </cell>
        </row>
        <row r="59">
          <cell r="A59" t="str">
            <v>les souris zélées SARL</v>
          </cell>
        </row>
        <row r="60">
          <cell r="A60" t="str">
            <v>Libraire Le Pays</v>
          </cell>
        </row>
        <row r="61">
          <cell r="A61" t="str">
            <v>Librairie Gigon</v>
          </cell>
        </row>
        <row r="62">
          <cell r="A62" t="str">
            <v>LIGHTFORM</v>
          </cell>
        </row>
        <row r="63">
          <cell r="A63" t="str">
            <v>Logitec</v>
          </cell>
        </row>
        <row r="64">
          <cell r="A64" t="str">
            <v>MaGiks</v>
          </cell>
        </row>
        <row r="65">
          <cell r="A65" t="str">
            <v>Menuserie de la Vallée</v>
          </cell>
        </row>
        <row r="66">
          <cell r="A66" t="str">
            <v>Microspot</v>
          </cell>
        </row>
        <row r="67">
          <cell r="A67" t="str">
            <v>Migros</v>
          </cell>
        </row>
        <row r="68">
          <cell r="A68" t="str">
            <v>Mouser</v>
          </cell>
        </row>
        <row r="69">
          <cell r="A69" t="str">
            <v>National Instruments</v>
          </cell>
        </row>
        <row r="70">
          <cell r="A70" t="str">
            <v>NextWay SA</v>
          </cell>
        </row>
        <row r="71">
          <cell r="A71" t="str">
            <v>Nicol Meubles</v>
          </cell>
        </row>
        <row r="72">
          <cell r="A72" t="str">
            <v>Office2b GmbH</v>
          </cell>
        </row>
        <row r="73">
          <cell r="A73" t="str">
            <v>Paulo Renato</v>
          </cell>
        </row>
        <row r="74">
          <cell r="A74" t="str">
            <v>PCHC.ch</v>
          </cell>
        </row>
        <row r="75">
          <cell r="A75" t="str">
            <v>PEARL Schweitz Gmbh</v>
          </cell>
        </row>
        <row r="76">
          <cell r="A76" t="str">
            <v>Pi-Shop.ch</v>
          </cell>
        </row>
        <row r="77">
          <cell r="A77" t="str">
            <v>PlanetWorks</v>
          </cell>
        </row>
        <row r="78">
          <cell r="A78" t="str">
            <v>Qoqa.ch</v>
          </cell>
        </row>
        <row r="79">
          <cell r="A79" t="str">
            <v>Rf Lap Counter- Eric Koobus</v>
          </cell>
        </row>
        <row r="80">
          <cell r="A80" t="str">
            <v>RICARDO</v>
          </cell>
        </row>
        <row r="81">
          <cell r="A81" t="str">
            <v>Richnerstutz AG</v>
          </cell>
        </row>
        <row r="82">
          <cell r="A82" t="str">
            <v>Rober Weiss Consulting</v>
          </cell>
        </row>
        <row r="83">
          <cell r="A83" t="str">
            <v>robotc.net</v>
          </cell>
        </row>
        <row r="84">
          <cell r="A84" t="str">
            <v>Schoch Vögtli AG</v>
          </cell>
        </row>
        <row r="85">
          <cell r="A85" t="str">
            <v>softandGUI Limited</v>
          </cell>
        </row>
        <row r="86">
          <cell r="A86" t="str">
            <v>SOPIREM SARL</v>
          </cell>
        </row>
        <row r="87">
          <cell r="A87" t="str">
            <v>Spynx Connect</v>
          </cell>
        </row>
        <row r="88">
          <cell r="A88" t="str">
            <v>STEG Electronics AG</v>
          </cell>
        </row>
        <row r="89">
          <cell r="A89" t="str">
            <v>SwissBrickPlanet</v>
          </cell>
        </row>
        <row r="90">
          <cell r="A90" t="str">
            <v>teachergaming.com</v>
          </cell>
        </row>
        <row r="91">
          <cell r="A91" t="str">
            <v>TechInfo</v>
          </cell>
        </row>
        <row r="92">
          <cell r="A92" t="str">
            <v>Techmania</v>
          </cell>
        </row>
        <row r="93">
          <cell r="A93" t="str">
            <v>Technoware</v>
          </cell>
        </row>
        <row r="94">
          <cell r="A94" t="str">
            <v>Tibo sa</v>
          </cell>
        </row>
        <row r="95">
          <cell r="A95" t="str">
            <v>TopD AG</v>
          </cell>
        </row>
        <row r="96">
          <cell r="A96" t="str">
            <v>Video2Brain</v>
          </cell>
        </row>
        <row r="97">
          <cell r="A97" t="str">
            <v>World Robot Olympiad Schweiz</v>
          </cell>
        </row>
        <row r="98">
          <cell r="A98" t="str">
            <v>Zesar.ch</v>
          </cell>
        </row>
      </sheetData>
      <sheetData sheetId="2">
        <row r="7">
          <cell r="A7"/>
          <cell r="D7"/>
          <cell r="E7"/>
          <cell r="F7"/>
        </row>
        <row r="8">
          <cell r="A8" t="str">
            <v>Automatique</v>
          </cell>
          <cell r="B8" t="str">
            <v>AAU</v>
          </cell>
          <cell r="D8" t="str">
            <v>Consommables</v>
          </cell>
          <cell r="E8" t="str">
            <v>AMO</v>
          </cell>
          <cell r="F8" t="str">
            <v>Arnaud Montferme</v>
          </cell>
        </row>
        <row r="9">
          <cell r="A9" t="str">
            <v>Bureautique</v>
          </cell>
          <cell r="B9" t="str">
            <v>ABT</v>
          </cell>
          <cell r="D9" t="str">
            <v>Entité existante</v>
          </cell>
          <cell r="E9" t="str">
            <v>CCA</v>
          </cell>
          <cell r="F9" t="str">
            <v>Cyril Caillet</v>
          </cell>
        </row>
        <row r="10">
          <cell r="A10" t="str">
            <v>Chimie</v>
          </cell>
          <cell r="B10" t="str">
            <v>ADM</v>
          </cell>
          <cell r="D10" t="str">
            <v>Investissement</v>
          </cell>
          <cell r="E10" t="str">
            <v>JCH</v>
          </cell>
          <cell r="F10" t="str">
            <v>Jacques Charpié</v>
          </cell>
        </row>
        <row r="11">
          <cell r="A11" t="str">
            <v>Documentation</v>
          </cell>
          <cell r="B11" t="str">
            <v>AEL</v>
          </cell>
          <cell r="D11" t="str">
            <v>Nouvelle entité</v>
          </cell>
          <cell r="E11"/>
          <cell r="F11"/>
        </row>
        <row r="12">
          <cell r="A12" t="str">
            <v>Electronique</v>
          </cell>
          <cell r="B12" t="str">
            <v>AHO</v>
          </cell>
          <cell r="D12" t="str">
            <v>Réparation</v>
          </cell>
          <cell r="E12"/>
          <cell r="F12"/>
        </row>
        <row r="13">
          <cell r="A13" t="str">
            <v>Electrotechnique</v>
          </cell>
          <cell r="B13" t="str">
            <v>AIF</v>
          </cell>
          <cell r="D13" t="str">
            <v>Revente élèves</v>
          </cell>
          <cell r="E13"/>
          <cell r="F13"/>
        </row>
        <row r="14">
          <cell r="A14" t="str">
            <v>Ilots I4.0</v>
          </cell>
          <cell r="B14" t="str">
            <v>AME</v>
          </cell>
          <cell r="D14" t="str">
            <v>Travaux pour tiers</v>
          </cell>
          <cell r="E14"/>
          <cell r="F14"/>
        </row>
        <row r="15">
          <cell r="A15" t="str">
            <v>Informatique</v>
          </cell>
          <cell r="B15" t="str">
            <v>CBG</v>
          </cell>
          <cell r="D15"/>
          <cell r="E15"/>
          <cell r="F15"/>
        </row>
        <row r="16">
          <cell r="A16" t="str">
            <v>Instrument</v>
          </cell>
          <cell r="B16" t="str">
            <v>CCG</v>
          </cell>
          <cell r="E16"/>
          <cell r="F16"/>
        </row>
        <row r="17">
          <cell r="A17" t="str">
            <v>Licence</v>
          </cell>
          <cell r="B17" t="str">
            <v>CCH</v>
          </cell>
          <cell r="E17"/>
          <cell r="F17"/>
        </row>
        <row r="18">
          <cell r="A18" t="str">
            <v>Mécanique</v>
          </cell>
          <cell r="B18" t="str">
            <v>CEL</v>
          </cell>
          <cell r="E18"/>
          <cell r="F18"/>
        </row>
        <row r="19">
          <cell r="A19" t="str">
            <v>Mobilier</v>
          </cell>
          <cell r="B19" t="str">
            <v>CMA</v>
          </cell>
          <cell r="E19"/>
          <cell r="F19"/>
        </row>
        <row r="20">
          <cell r="A20" t="str">
            <v>Oeuvre d'art</v>
          </cell>
          <cell r="B20" t="str">
            <v>CME</v>
          </cell>
          <cell r="E20"/>
          <cell r="F20"/>
        </row>
        <row r="21">
          <cell r="A21" t="str">
            <v>Outillage</v>
          </cell>
          <cell r="B21" t="str">
            <v>CSC</v>
          </cell>
          <cell r="E21"/>
          <cell r="F21"/>
        </row>
        <row r="22">
          <cell r="A22" t="str">
            <v>Petit matériel pour batiment</v>
          </cell>
          <cell r="B22" t="str">
            <v>CSO</v>
          </cell>
          <cell r="E22"/>
          <cell r="F22"/>
        </row>
        <row r="23">
          <cell r="A23" t="str">
            <v>Physique</v>
          </cell>
          <cell r="B23" t="str">
            <v>CSP</v>
          </cell>
          <cell r="E23"/>
          <cell r="F23"/>
        </row>
        <row r="24">
          <cell r="A24" t="str">
            <v>Site Internet</v>
          </cell>
          <cell r="B24" t="str">
            <v>DCA</v>
          </cell>
          <cell r="E24"/>
          <cell r="F24"/>
        </row>
        <row r="25">
          <cell r="A25" t="str">
            <v>Smart Factory</v>
          </cell>
          <cell r="B25" t="str">
            <v>DCO</v>
          </cell>
          <cell r="E25"/>
          <cell r="F25"/>
        </row>
        <row r="26">
          <cell r="A26"/>
          <cell r="B26" t="str">
            <v>DDI</v>
          </cell>
          <cell r="E26"/>
          <cell r="F26"/>
        </row>
        <row r="27">
          <cell r="A27"/>
          <cell r="B27" t="str">
            <v>DDR</v>
          </cell>
          <cell r="E27"/>
          <cell r="F27"/>
        </row>
        <row r="28">
          <cell r="A28"/>
          <cell r="B28" t="str">
            <v>DES</v>
          </cell>
          <cell r="E28"/>
          <cell r="F28"/>
        </row>
        <row r="29">
          <cell r="A29"/>
          <cell r="B29" t="str">
            <v>DME</v>
          </cell>
          <cell r="E29"/>
          <cell r="F29"/>
        </row>
        <row r="30">
          <cell r="A30"/>
          <cell r="B30" t="str">
            <v>DPE</v>
          </cell>
          <cell r="E30"/>
          <cell r="F30"/>
        </row>
        <row r="31">
          <cell r="A31"/>
          <cell r="B31" t="str">
            <v>I40</v>
          </cell>
          <cell r="E31"/>
          <cell r="F31"/>
        </row>
        <row r="32">
          <cell r="A32"/>
          <cell r="B32" t="str">
            <v>INF</v>
          </cell>
          <cell r="E32"/>
          <cell r="F32"/>
        </row>
        <row r="33">
          <cell r="A33"/>
          <cell r="B33" t="str">
            <v>MIN</v>
          </cell>
          <cell r="E33"/>
          <cell r="F33"/>
        </row>
        <row r="34">
          <cell r="A34"/>
          <cell r="B34" t="str">
            <v>PRE</v>
          </cell>
          <cell r="E34"/>
          <cell r="F34"/>
        </row>
        <row r="35">
          <cell r="A35"/>
          <cell r="B35" t="str">
            <v>REL</v>
          </cell>
          <cell r="E35"/>
          <cell r="F35"/>
        </row>
        <row r="36">
          <cell r="A36"/>
          <cell r="B36" t="str">
            <v>RHO</v>
          </cell>
          <cell r="E36"/>
          <cell r="F36"/>
        </row>
        <row r="37">
          <cell r="A37"/>
          <cell r="B37" t="str">
            <v>SIN</v>
          </cell>
          <cell r="E37"/>
          <cell r="F37"/>
        </row>
        <row r="38">
          <cell r="A38"/>
          <cell r="B38"/>
          <cell r="E38"/>
          <cell r="F38"/>
        </row>
        <row r="39">
          <cell r="A39"/>
          <cell r="B39"/>
          <cell r="E39"/>
          <cell r="F39"/>
        </row>
        <row r="40">
          <cell r="A40"/>
          <cell r="B40"/>
          <cell r="E40"/>
          <cell r="F40"/>
        </row>
        <row r="41">
          <cell r="A41"/>
          <cell r="B41"/>
          <cell r="E41"/>
          <cell r="F41"/>
        </row>
        <row r="42">
          <cell r="A42"/>
          <cell r="B42"/>
          <cell r="E42"/>
          <cell r="F42"/>
        </row>
        <row r="43">
          <cell r="A43"/>
          <cell r="B43"/>
          <cell r="E43"/>
          <cell r="F43"/>
        </row>
        <row r="44">
          <cell r="A44"/>
          <cell r="B44"/>
          <cell r="E44"/>
          <cell r="F44"/>
        </row>
        <row r="45">
          <cell r="A45"/>
          <cell r="B45"/>
          <cell r="E45"/>
          <cell r="F45"/>
        </row>
        <row r="46">
          <cell r="A46"/>
          <cell r="B46"/>
          <cell r="E46"/>
          <cell r="F46"/>
        </row>
        <row r="47">
          <cell r="A47"/>
          <cell r="B47"/>
          <cell r="E47"/>
          <cell r="F47"/>
        </row>
        <row r="48">
          <cell r="A48"/>
          <cell r="B48"/>
          <cell r="E48"/>
          <cell r="F48"/>
        </row>
        <row r="49">
          <cell r="A49"/>
          <cell r="B49"/>
          <cell r="E49"/>
          <cell r="F49"/>
        </row>
        <row r="50">
          <cell r="A50"/>
          <cell r="B50"/>
          <cell r="E50"/>
          <cell r="F50"/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E1AE-E47D-448E-94BA-18C6C59EA4F3}">
  <sheetPr codeName="Sauvegarde">
    <tabColor indexed="8"/>
  </sheetPr>
  <dimension ref="A1:HZ55"/>
  <sheetViews>
    <sheetView showGridLines="0" tabSelected="1" view="pageBreakPreview" zoomScaleNormal="100" zoomScaleSheetLayoutView="100" workbookViewId="0">
      <selection activeCell="D14" sqref="D14"/>
    </sheetView>
  </sheetViews>
  <sheetFormatPr baseColWidth="10" defaultColWidth="11.44140625" defaultRowHeight="22.8" x14ac:dyDescent="0.25"/>
  <cols>
    <col min="1" max="1" width="2.88671875" style="3" customWidth="1"/>
    <col min="2" max="2" width="17.33203125" style="3" customWidth="1"/>
    <col min="3" max="3" width="26.33203125" style="3" customWidth="1"/>
    <col min="4" max="4" width="46.44140625" style="3" customWidth="1"/>
    <col min="5" max="5" width="11.5546875" style="3" customWidth="1"/>
    <col min="6" max="6" width="13.44140625" style="13" customWidth="1"/>
    <col min="7" max="7" width="8.44140625" style="3" customWidth="1"/>
    <col min="8" max="8" width="15.44140625" style="3" customWidth="1"/>
    <col min="9" max="9" width="7.88671875" style="1" customWidth="1"/>
    <col min="10" max="207" width="11.44140625" style="2"/>
    <col min="208" max="16384" width="11.44140625" style="3"/>
  </cols>
  <sheetData>
    <row r="1" spans="1:234" ht="33" customHeight="1" x14ac:dyDescent="0.25">
      <c r="A1" s="53" t="s">
        <v>0</v>
      </c>
      <c r="B1" s="53"/>
      <c r="C1" s="53"/>
      <c r="D1" s="54" t="str">
        <f ca="1">"Formulaire de Commande "&amp;TEXT(TODAY(),"JJ/MM/AA")</f>
        <v>Formulaire de Commande 17/05/26</v>
      </c>
      <c r="E1" s="54"/>
      <c r="F1" s="54"/>
      <c r="G1" s="54"/>
      <c r="H1" s="55"/>
    </row>
    <row r="2" spans="1:234" ht="12.75" customHeight="1" x14ac:dyDescent="0.25">
      <c r="A2" s="56" t="s">
        <v>1</v>
      </c>
      <c r="B2" s="56"/>
      <c r="C2" s="56"/>
      <c r="F2" s="57" t="s">
        <v>2</v>
      </c>
      <c r="G2" s="57"/>
      <c r="H2" s="58"/>
    </row>
    <row r="3" spans="1:234" ht="12.75" customHeight="1" x14ac:dyDescent="0.25">
      <c r="A3" s="56"/>
      <c r="B3" s="56"/>
      <c r="C3" s="56"/>
      <c r="E3" s="4"/>
      <c r="F3" s="59"/>
      <c r="G3" s="59"/>
      <c r="H3" s="60"/>
    </row>
    <row r="4" spans="1:234" ht="12.75" customHeight="1" x14ac:dyDescent="0.25">
      <c r="A4" s="56"/>
      <c r="B4" s="56"/>
      <c r="C4" s="56"/>
      <c r="E4" s="5" t="s">
        <v>3</v>
      </c>
      <c r="F4" s="61" t="s">
        <v>4</v>
      </c>
      <c r="G4" s="62"/>
      <c r="H4" s="63"/>
    </row>
    <row r="5" spans="1:234" ht="12.75" customHeight="1" x14ac:dyDescent="0.25">
      <c r="A5" s="48" t="s">
        <v>5</v>
      </c>
      <c r="B5" s="48"/>
      <c r="C5" s="48"/>
      <c r="E5" s="5" t="s">
        <v>6</v>
      </c>
      <c r="F5" s="49" t="s">
        <v>7</v>
      </c>
      <c r="G5" s="49"/>
      <c r="H5" s="50"/>
    </row>
    <row r="6" spans="1:234" ht="12.75" customHeight="1" x14ac:dyDescent="0.25">
      <c r="A6" s="48"/>
      <c r="B6" s="48"/>
      <c r="C6" s="48"/>
      <c r="E6" s="5"/>
      <c r="F6" s="51">
        <v>0</v>
      </c>
      <c r="G6" s="51"/>
      <c r="H6" s="52"/>
    </row>
    <row r="7" spans="1:234" ht="12.75" customHeight="1" x14ac:dyDescent="0.25">
      <c r="A7" s="8"/>
      <c r="B7" s="9"/>
      <c r="C7" s="9"/>
      <c r="E7" s="5" t="s">
        <v>8</v>
      </c>
      <c r="F7" s="10">
        <v>0</v>
      </c>
      <c r="G7" s="6"/>
      <c r="H7" s="11">
        <v>0</v>
      </c>
    </row>
    <row r="8" spans="1:234" ht="12.75" customHeight="1" x14ac:dyDescent="0.25">
      <c r="A8" s="64" t="s">
        <v>9</v>
      </c>
      <c r="B8" s="65"/>
      <c r="C8" s="12" t="s">
        <v>10</v>
      </c>
      <c r="E8" s="5" t="s">
        <v>11</v>
      </c>
      <c r="F8" s="6" t="s">
        <v>12</v>
      </c>
      <c r="G8" s="6" t="s">
        <v>13</v>
      </c>
      <c r="H8" s="7"/>
    </row>
    <row r="9" spans="1:234" ht="12.75" customHeight="1" x14ac:dyDescent="0.25">
      <c r="A9" s="64" t="s">
        <v>14</v>
      </c>
      <c r="B9" s="65"/>
      <c r="C9" s="12" t="s">
        <v>35</v>
      </c>
      <c r="E9" s="5" t="s">
        <v>15</v>
      </c>
      <c r="F9" s="49" t="s">
        <v>16</v>
      </c>
      <c r="G9" s="49"/>
      <c r="H9" s="50"/>
    </row>
    <row r="10" spans="1:234" ht="5.25" customHeight="1" x14ac:dyDescent="0.25">
      <c r="A10" s="8"/>
      <c r="E10" s="5"/>
      <c r="H10" s="14"/>
    </row>
    <row r="11" spans="1:234" s="17" customFormat="1" ht="20.25" customHeight="1" x14ac:dyDescent="0.25">
      <c r="A11" s="66" t="s">
        <v>17</v>
      </c>
      <c r="B11" s="67"/>
      <c r="C11" s="16" t="s">
        <v>18</v>
      </c>
      <c r="D11" s="15" t="s">
        <v>19</v>
      </c>
      <c r="E11" s="15" t="s">
        <v>20</v>
      </c>
      <c r="F11" s="16" t="s">
        <v>21</v>
      </c>
      <c r="G11" s="16" t="s">
        <v>22</v>
      </c>
      <c r="H11" s="16" t="s">
        <v>23</v>
      </c>
      <c r="I11" s="1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</row>
    <row r="12" spans="1:234" ht="13.5" customHeight="1" x14ac:dyDescent="0.25">
      <c r="A12" s="18"/>
      <c r="B12" s="18"/>
      <c r="C12" s="19" t="s">
        <v>51</v>
      </c>
      <c r="D12" s="107" t="s">
        <v>70</v>
      </c>
      <c r="E12" s="21">
        <v>1</v>
      </c>
      <c r="F12" s="112">
        <v>0.56999999999999995</v>
      </c>
      <c r="G12" s="23"/>
      <c r="H12" s="113">
        <f>(F12*(1-G12)*E12)</f>
        <v>0.56999999999999995</v>
      </c>
      <c r="I12" s="25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</row>
    <row r="13" spans="1:234" ht="13.5" customHeight="1" x14ac:dyDescent="0.25">
      <c r="A13" s="18"/>
      <c r="B13" s="18"/>
      <c r="C13" s="19" t="s">
        <v>52</v>
      </c>
      <c r="D13" s="107" t="s">
        <v>71</v>
      </c>
      <c r="E13" s="21">
        <v>1</v>
      </c>
      <c r="F13" s="112">
        <v>0.18</v>
      </c>
      <c r="G13" s="23"/>
      <c r="H13" s="113">
        <f>(F13*(1-G13)*E13)</f>
        <v>0.18</v>
      </c>
      <c r="I13" s="25"/>
      <c r="J13" s="26"/>
      <c r="K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</row>
    <row r="14" spans="1:234" ht="13.5" customHeight="1" x14ac:dyDescent="0.3">
      <c r="A14" s="18"/>
      <c r="B14" s="18"/>
      <c r="C14" s="47" t="s">
        <v>53</v>
      </c>
      <c r="D14" s="108" t="s">
        <v>72</v>
      </c>
      <c r="E14" s="21">
        <v>1</v>
      </c>
      <c r="F14" s="112">
        <v>0.21</v>
      </c>
      <c r="G14" s="23"/>
      <c r="H14" s="113">
        <f t="shared" ref="H14:H31" si="0">(F14*(1-G14)*E14)</f>
        <v>0.21</v>
      </c>
      <c r="I14" s="25"/>
      <c r="J14" s="26"/>
      <c r="K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</row>
    <row r="15" spans="1:234" ht="13.5" customHeight="1" x14ac:dyDescent="0.25">
      <c r="A15" s="18"/>
      <c r="B15" s="18"/>
      <c r="C15" s="19" t="s">
        <v>54</v>
      </c>
      <c r="D15" s="107" t="s">
        <v>73</v>
      </c>
      <c r="E15" s="21">
        <v>1</v>
      </c>
      <c r="F15" s="112">
        <v>1.31</v>
      </c>
      <c r="G15" s="23"/>
      <c r="H15" s="113">
        <f t="shared" si="0"/>
        <v>1.31</v>
      </c>
      <c r="I15" s="25"/>
      <c r="J15" s="26"/>
      <c r="K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</row>
    <row r="16" spans="1:234" ht="13.5" customHeight="1" x14ac:dyDescent="0.25">
      <c r="A16" s="18"/>
      <c r="B16" s="18"/>
      <c r="C16" s="19" t="s">
        <v>55</v>
      </c>
      <c r="D16" s="107" t="s">
        <v>38</v>
      </c>
      <c r="E16" s="21">
        <v>1</v>
      </c>
      <c r="F16" s="112">
        <v>0.28999999999999998</v>
      </c>
      <c r="G16" s="23"/>
      <c r="H16" s="113">
        <f t="shared" si="0"/>
        <v>0.28999999999999998</v>
      </c>
      <c r="I16" s="25"/>
      <c r="J16" s="26"/>
      <c r="K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</row>
    <row r="17" spans="1:234" ht="13.5" customHeight="1" x14ac:dyDescent="0.25">
      <c r="A17" s="18"/>
      <c r="B17" s="18"/>
      <c r="C17" s="19" t="s">
        <v>56</v>
      </c>
      <c r="D17" s="107" t="s">
        <v>39</v>
      </c>
      <c r="E17" s="21">
        <v>1</v>
      </c>
      <c r="F17" s="112">
        <v>0.11</v>
      </c>
      <c r="G17" s="23"/>
      <c r="H17" s="113">
        <f t="shared" si="0"/>
        <v>0.11</v>
      </c>
      <c r="I17" s="25"/>
      <c r="J17" s="26"/>
      <c r="K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</row>
    <row r="18" spans="1:234" ht="13.5" customHeight="1" x14ac:dyDescent="0.25">
      <c r="A18" s="18"/>
      <c r="B18" s="18"/>
      <c r="C18" s="19" t="s">
        <v>57</v>
      </c>
      <c r="D18" s="107" t="s">
        <v>40</v>
      </c>
      <c r="E18" s="21">
        <v>1</v>
      </c>
      <c r="F18" s="112">
        <v>5.36</v>
      </c>
      <c r="G18" s="23"/>
      <c r="H18" s="113">
        <f t="shared" si="0"/>
        <v>5.36</v>
      </c>
      <c r="I18" s="25"/>
      <c r="J18" s="26"/>
      <c r="K18" s="26"/>
      <c r="L18" s="28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</row>
    <row r="19" spans="1:234" ht="13.5" customHeight="1" x14ac:dyDescent="0.25">
      <c r="A19" s="18"/>
      <c r="B19" s="18"/>
      <c r="C19" s="19" t="s">
        <v>58</v>
      </c>
      <c r="D19" s="107" t="s">
        <v>41</v>
      </c>
      <c r="E19" s="21">
        <v>2</v>
      </c>
      <c r="F19" s="112">
        <v>0.11</v>
      </c>
      <c r="G19" s="23"/>
      <c r="H19" s="113">
        <f t="shared" si="0"/>
        <v>0.22</v>
      </c>
      <c r="I19" s="25"/>
      <c r="J19" s="26"/>
      <c r="K19" s="26"/>
      <c r="L19" s="29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</row>
    <row r="20" spans="1:234" ht="13.5" customHeight="1" x14ac:dyDescent="0.25">
      <c r="A20" s="18"/>
      <c r="B20" s="18"/>
      <c r="C20" s="19" t="s">
        <v>59</v>
      </c>
      <c r="D20" s="107" t="s">
        <v>42</v>
      </c>
      <c r="E20" s="21">
        <v>1</v>
      </c>
      <c r="F20" s="112">
        <v>0.32</v>
      </c>
      <c r="G20" s="23"/>
      <c r="H20" s="113">
        <f t="shared" si="0"/>
        <v>0.32</v>
      </c>
      <c r="I20" s="25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</row>
    <row r="21" spans="1:234" ht="13.5" customHeight="1" x14ac:dyDescent="0.25">
      <c r="A21" s="18"/>
      <c r="B21" s="18"/>
      <c r="C21" s="19" t="s">
        <v>60</v>
      </c>
      <c r="D21" s="107" t="s">
        <v>43</v>
      </c>
      <c r="E21" s="21">
        <v>2</v>
      </c>
      <c r="F21" s="112">
        <v>0.71</v>
      </c>
      <c r="G21" s="23"/>
      <c r="H21" s="113">
        <f t="shared" si="0"/>
        <v>1.42</v>
      </c>
      <c r="I21" s="25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</row>
    <row r="22" spans="1:234" ht="13.5" customHeight="1" x14ac:dyDescent="0.25">
      <c r="A22" s="18"/>
      <c r="B22" s="18"/>
      <c r="C22" s="19" t="s">
        <v>61</v>
      </c>
      <c r="D22" s="107" t="s">
        <v>44</v>
      </c>
      <c r="E22" s="21">
        <v>1</v>
      </c>
      <c r="F22" s="112">
        <v>2.06</v>
      </c>
      <c r="G22" s="23"/>
      <c r="H22" s="113">
        <f t="shared" si="0"/>
        <v>2.06</v>
      </c>
      <c r="I22" s="25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</row>
    <row r="23" spans="1:234" ht="13.5" customHeight="1" x14ac:dyDescent="0.25">
      <c r="A23" s="18"/>
      <c r="B23" s="18"/>
      <c r="C23" s="19" t="s">
        <v>62</v>
      </c>
      <c r="D23" s="107" t="s">
        <v>45</v>
      </c>
      <c r="E23" s="21">
        <v>1</v>
      </c>
      <c r="F23" s="112">
        <v>1.49</v>
      </c>
      <c r="G23" s="23"/>
      <c r="H23" s="113">
        <f t="shared" si="0"/>
        <v>1.49</v>
      </c>
      <c r="I23" s="25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</row>
    <row r="24" spans="1:234" ht="13.5" customHeight="1" x14ac:dyDescent="0.25">
      <c r="A24" s="18"/>
      <c r="B24" s="18"/>
      <c r="C24" s="19" t="s">
        <v>63</v>
      </c>
      <c r="D24" s="107" t="s">
        <v>46</v>
      </c>
      <c r="E24" s="21">
        <v>1</v>
      </c>
      <c r="F24" s="112">
        <v>2.92</v>
      </c>
      <c r="G24" s="23"/>
      <c r="H24" s="113">
        <f t="shared" si="0"/>
        <v>2.92</v>
      </c>
      <c r="I24" s="25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</row>
    <row r="25" spans="1:234" ht="13.5" customHeight="1" x14ac:dyDescent="0.25">
      <c r="A25" s="18"/>
      <c r="B25" s="18"/>
      <c r="C25" s="19" t="s">
        <v>64</v>
      </c>
      <c r="D25" s="107" t="s">
        <v>47</v>
      </c>
      <c r="E25" s="21">
        <v>1</v>
      </c>
      <c r="F25" s="112">
        <v>0.41</v>
      </c>
      <c r="G25" s="23"/>
      <c r="H25" s="113">
        <f t="shared" si="0"/>
        <v>0.41</v>
      </c>
      <c r="I25" s="25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</row>
    <row r="26" spans="1:234" ht="13.5" customHeight="1" x14ac:dyDescent="0.25">
      <c r="A26" s="18"/>
      <c r="B26" s="18"/>
      <c r="C26" s="19" t="s">
        <v>65</v>
      </c>
      <c r="D26" s="107" t="s">
        <v>48</v>
      </c>
      <c r="E26" s="21">
        <v>1</v>
      </c>
      <c r="F26" s="112">
        <v>5.94</v>
      </c>
      <c r="G26" s="23"/>
      <c r="H26" s="113">
        <f t="shared" si="0"/>
        <v>5.94</v>
      </c>
      <c r="I26" s="25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</row>
    <row r="27" spans="1:234" ht="13.5" customHeight="1" x14ac:dyDescent="0.25">
      <c r="A27" s="18"/>
      <c r="B27" s="18"/>
      <c r="C27" s="19" t="s">
        <v>66</v>
      </c>
      <c r="D27" s="107" t="s">
        <v>49</v>
      </c>
      <c r="E27" s="21">
        <v>1</v>
      </c>
      <c r="F27" s="112">
        <v>5.07</v>
      </c>
      <c r="G27" s="23"/>
      <c r="H27" s="113">
        <f>(F27*(1-G27)*E27)</f>
        <v>5.07</v>
      </c>
      <c r="I27" s="25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</row>
    <row r="28" spans="1:234" ht="13.5" customHeight="1" x14ac:dyDescent="0.25">
      <c r="A28" s="18"/>
      <c r="B28" s="18"/>
      <c r="C28" s="19" t="s">
        <v>67</v>
      </c>
      <c r="D28" s="107" t="s">
        <v>50</v>
      </c>
      <c r="E28" s="21">
        <v>1</v>
      </c>
      <c r="F28" s="112">
        <v>0.67</v>
      </c>
      <c r="G28" s="23"/>
      <c r="H28" s="113">
        <f>(F28*(1-G28)*E28)</f>
        <v>0.67</v>
      </c>
      <c r="I28" s="25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</row>
    <row r="29" spans="1:234" ht="13.5" customHeight="1" x14ac:dyDescent="0.25">
      <c r="A29" s="18"/>
      <c r="B29" s="18"/>
      <c r="C29" s="19" t="s">
        <v>68</v>
      </c>
      <c r="D29" s="109" t="s">
        <v>69</v>
      </c>
      <c r="E29" s="110">
        <v>5</v>
      </c>
      <c r="F29" s="111">
        <v>1.96</v>
      </c>
      <c r="G29" s="110"/>
      <c r="H29" s="110">
        <f>(F29*(1-G29)*E29)</f>
        <v>9.8000000000000007</v>
      </c>
      <c r="I29" s="25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</row>
    <row r="30" spans="1:234" ht="13.5" customHeight="1" x14ac:dyDescent="0.25">
      <c r="A30" s="18"/>
      <c r="B30" s="18"/>
      <c r="C30" s="19"/>
      <c r="D30" s="20"/>
      <c r="E30" s="21"/>
      <c r="F30" s="22"/>
      <c r="G30" s="23"/>
      <c r="H30" s="24">
        <f t="shared" si="0"/>
        <v>0</v>
      </c>
      <c r="I30" s="25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</row>
    <row r="31" spans="1:234" ht="13.5" customHeight="1" x14ac:dyDescent="0.25">
      <c r="A31" s="18"/>
      <c r="B31" s="18"/>
      <c r="C31" s="19"/>
      <c r="D31" s="20"/>
      <c r="E31" s="21"/>
      <c r="F31" s="22"/>
      <c r="G31" s="23"/>
      <c r="H31" s="24">
        <f t="shared" si="0"/>
        <v>0</v>
      </c>
      <c r="I31" s="25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</row>
    <row r="32" spans="1:234" ht="12.75" customHeight="1" x14ac:dyDescent="0.25">
      <c r="A32" s="68" t="s">
        <v>24</v>
      </c>
      <c r="B32" s="69"/>
      <c r="C32" s="70" t="s">
        <v>25</v>
      </c>
      <c r="D32" s="71"/>
      <c r="E32" s="72"/>
      <c r="F32" s="73" t="str">
        <f>IF(E39=TRUE,"Total HT","Total TTC")</f>
        <v>Total HT</v>
      </c>
      <c r="G32" s="74"/>
      <c r="H32" s="75">
        <f>SUM(H12:H31)</f>
        <v>38.350000000000009</v>
      </c>
      <c r="I32" s="30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</row>
    <row r="33" spans="1:234" ht="12.75" customHeight="1" x14ac:dyDescent="0.25">
      <c r="A33" s="68"/>
      <c r="B33" s="69"/>
      <c r="C33" s="70"/>
      <c r="D33" s="71"/>
      <c r="E33" s="72"/>
      <c r="F33" s="73"/>
      <c r="G33" s="74"/>
      <c r="H33" s="76"/>
      <c r="I33" s="30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</row>
    <row r="34" spans="1:234" ht="12.75" customHeight="1" x14ac:dyDescent="0.25">
      <c r="A34" s="77" t="s">
        <v>26</v>
      </c>
      <c r="B34" s="77"/>
      <c r="C34" s="77"/>
      <c r="D34" s="32" t="s">
        <v>27</v>
      </c>
      <c r="E34" s="78"/>
      <c r="F34" s="79" t="s">
        <v>28</v>
      </c>
      <c r="G34" s="80"/>
      <c r="H34" s="81">
        <f>-H32*F35</f>
        <v>0</v>
      </c>
      <c r="I34" s="34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</row>
    <row r="35" spans="1:234" ht="12.75" customHeight="1" x14ac:dyDescent="0.25">
      <c r="A35" s="82" t="s">
        <v>36</v>
      </c>
      <c r="B35" s="82"/>
      <c r="C35" s="35" t="s">
        <v>37</v>
      </c>
      <c r="D35" s="36">
        <v>46159</v>
      </c>
      <c r="E35" s="78"/>
      <c r="F35" s="83"/>
      <c r="G35" s="84"/>
      <c r="H35" s="76"/>
      <c r="I35" s="34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</row>
    <row r="36" spans="1:234" ht="15" customHeight="1" x14ac:dyDescent="0.25">
      <c r="A36" s="89" t="s">
        <v>29</v>
      </c>
      <c r="B36" s="90"/>
      <c r="C36" s="91"/>
      <c r="D36" s="37" t="s">
        <v>30</v>
      </c>
      <c r="E36" s="92"/>
      <c r="F36" s="93" t="s">
        <v>31</v>
      </c>
      <c r="G36" s="94"/>
      <c r="H36" s="31"/>
      <c r="I36" s="34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</row>
    <row r="37" spans="1:234" ht="15" customHeight="1" x14ac:dyDescent="0.25">
      <c r="A37" s="95"/>
      <c r="B37" s="96"/>
      <c r="C37" s="97"/>
      <c r="D37" s="101"/>
      <c r="E37" s="92"/>
      <c r="F37" s="38" t="str">
        <f>IF(E39=TRUE,"TVA","")</f>
        <v>TVA</v>
      </c>
      <c r="G37" s="39">
        <v>0</v>
      </c>
      <c r="H37" s="33">
        <f>(H32+H34+H36)*(G37)</f>
        <v>0</v>
      </c>
      <c r="I37" s="34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</row>
    <row r="38" spans="1:234" ht="12" customHeight="1" x14ac:dyDescent="0.25">
      <c r="A38" s="95"/>
      <c r="B38" s="96"/>
      <c r="C38" s="97"/>
      <c r="D38" s="101"/>
      <c r="E38" s="92"/>
      <c r="F38" s="103" t="s">
        <v>32</v>
      </c>
      <c r="G38" s="104"/>
      <c r="H38" s="85">
        <f>H32+H34+H37+H36</f>
        <v>38.350000000000009</v>
      </c>
      <c r="I38" s="34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</row>
    <row r="39" spans="1:234" ht="12" customHeight="1" x14ac:dyDescent="0.25">
      <c r="A39" s="98"/>
      <c r="B39" s="99"/>
      <c r="C39" s="100"/>
      <c r="D39" s="102"/>
      <c r="E39" s="40" t="b">
        <v>1</v>
      </c>
      <c r="F39" s="105"/>
      <c r="G39" s="106"/>
      <c r="H39" s="86"/>
      <c r="I39" s="34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</row>
    <row r="40" spans="1:234" ht="3.75" customHeight="1" x14ac:dyDescent="0.25">
      <c r="A40" s="41"/>
      <c r="B40" s="42"/>
      <c r="C40" s="42"/>
      <c r="D40" s="41"/>
      <c r="E40" s="41"/>
      <c r="F40" s="41"/>
      <c r="G40" s="41"/>
      <c r="H40" s="41"/>
      <c r="I40" s="34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</row>
    <row r="41" spans="1:234" s="45" customFormat="1" ht="12.75" customHeight="1" x14ac:dyDescent="0.25">
      <c r="A41" s="87" t="s">
        <v>33</v>
      </c>
      <c r="B41" s="87"/>
      <c r="C41" s="88" t="s">
        <v>34</v>
      </c>
      <c r="D41" s="88"/>
      <c r="E41" s="88"/>
      <c r="F41" s="88"/>
      <c r="G41" s="88"/>
      <c r="H41" s="88"/>
      <c r="I41" s="43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4"/>
      <c r="DJ41" s="44"/>
      <c r="DK41" s="44"/>
      <c r="DL41" s="44"/>
      <c r="DM41" s="44"/>
      <c r="DN41" s="44"/>
      <c r="DO41" s="44"/>
      <c r="DP41" s="44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4"/>
      <c r="FV41" s="44"/>
      <c r="FW41" s="44"/>
      <c r="FX41" s="44"/>
      <c r="FY41" s="44"/>
      <c r="FZ41" s="44"/>
      <c r="GA41" s="44"/>
      <c r="GB41" s="44"/>
      <c r="GC41" s="44"/>
      <c r="GD41" s="44"/>
      <c r="GE41" s="44"/>
      <c r="GF41" s="44"/>
      <c r="GG41" s="44"/>
      <c r="GH41" s="44"/>
      <c r="GI41" s="44"/>
      <c r="GJ41" s="44"/>
      <c r="GK41" s="44"/>
      <c r="GL41" s="44"/>
      <c r="GM41" s="44"/>
      <c r="GN41" s="44"/>
      <c r="GO41" s="44"/>
      <c r="GP41" s="44"/>
      <c r="GQ41" s="44"/>
      <c r="GR41" s="44"/>
      <c r="GS41" s="44"/>
      <c r="GT41" s="44"/>
      <c r="GU41" s="44"/>
      <c r="GV41" s="44"/>
      <c r="GW41" s="44"/>
      <c r="GX41" s="44"/>
      <c r="GY41" s="44"/>
    </row>
    <row r="42" spans="1:234" ht="15" customHeight="1" x14ac:dyDescent="0.25">
      <c r="B42" s="46"/>
      <c r="C42" s="46"/>
      <c r="I42" s="25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</row>
    <row r="43" spans="1:234" ht="13.5" customHeight="1" x14ac:dyDescent="0.25">
      <c r="B43" s="46"/>
      <c r="C43" s="46"/>
      <c r="I43" s="25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</row>
    <row r="44" spans="1:234" ht="15" x14ac:dyDescent="0.25">
      <c r="B44" s="46"/>
      <c r="C44" s="46"/>
      <c r="I44" s="25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</row>
    <row r="45" spans="1:234" ht="15" x14ac:dyDescent="0.25">
      <c r="B45" s="46"/>
      <c r="C45" s="46"/>
      <c r="I45" s="25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</row>
    <row r="46" spans="1:234" ht="15" x14ac:dyDescent="0.25">
      <c r="I46" s="25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</row>
    <row r="47" spans="1:234" ht="15" x14ac:dyDescent="0.25">
      <c r="I47" s="25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</row>
    <row r="48" spans="1:234" ht="15" x14ac:dyDescent="0.25">
      <c r="I48" s="25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</row>
    <row r="49" spans="9:234" ht="15" x14ac:dyDescent="0.25">
      <c r="I49" s="25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</row>
    <row r="50" spans="9:234" ht="15" x14ac:dyDescent="0.25">
      <c r="I50" s="25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</row>
    <row r="51" spans="9:234" ht="15" x14ac:dyDescent="0.25">
      <c r="I51" s="25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</row>
    <row r="52" spans="9:234" ht="15" x14ac:dyDescent="0.25">
      <c r="I52" s="25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</row>
    <row r="53" spans="9:234" ht="15" x14ac:dyDescent="0.25">
      <c r="I53" s="25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</row>
    <row r="54" spans="9:234" ht="15" x14ac:dyDescent="0.25">
      <c r="I54" s="25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</row>
    <row r="55" spans="9:234" ht="15" x14ac:dyDescent="0.25">
      <c r="I55" s="25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</row>
  </sheetData>
  <mergeCells count="31">
    <mergeCell ref="H38:H39"/>
    <mergeCell ref="A41:B41"/>
    <mergeCell ref="C41:H41"/>
    <mergeCell ref="A36:C36"/>
    <mergeCell ref="E36:E38"/>
    <mergeCell ref="F36:G36"/>
    <mergeCell ref="A37:C39"/>
    <mergeCell ref="D37:D39"/>
    <mergeCell ref="F38:G39"/>
    <mergeCell ref="A34:C34"/>
    <mergeCell ref="E34:E35"/>
    <mergeCell ref="F34:G34"/>
    <mergeCell ref="H34:H35"/>
    <mergeCell ref="A35:B35"/>
    <mergeCell ref="F35:G35"/>
    <mergeCell ref="A8:B8"/>
    <mergeCell ref="A9:B9"/>
    <mergeCell ref="F9:H9"/>
    <mergeCell ref="A11:B11"/>
    <mergeCell ref="A32:B33"/>
    <mergeCell ref="C32:E33"/>
    <mergeCell ref="F32:G33"/>
    <mergeCell ref="H32:H33"/>
    <mergeCell ref="A5:C6"/>
    <mergeCell ref="F5:H5"/>
    <mergeCell ref="F6:H6"/>
    <mergeCell ref="A1:C1"/>
    <mergeCell ref="D1:H1"/>
    <mergeCell ref="A2:C4"/>
    <mergeCell ref="F2:H3"/>
    <mergeCell ref="F4:H4"/>
  </mergeCells>
  <printOptions horizontalCentered="1" verticalCentered="1"/>
  <pageMargins left="0.39370078740157483" right="0.39370078740157483" top="0.39370078740157483" bottom="0.39370078740157483" header="0.27559055118110237" footer="0.27559055118110237"/>
  <pageSetup paperSize="9" orientation="landscape" blackAndWhite="1" r:id="rId1"/>
  <headerFooter alignWithMargins="0">
    <oddFooter>&amp;R&amp;6(C) AM  Février 2005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96">
              <controlPr defaultSize="0" print="0" autoFill="0" autoPict="0" macro="[0]!Configuration">
                <anchor moveWithCells="1" sizeWithCells="1">
                  <from>
                    <xdr:col>4</xdr:col>
                    <xdr:colOff>571500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97">
              <controlPr defaultSize="0" print="0" autoFill="0" autoPict="0" macro="[0]!Fournisseur">
                <anchor moveWithCells="1" sizeWithCells="1">
                  <from>
                    <xdr:col>5</xdr:col>
                    <xdr:colOff>38100</xdr:colOff>
                    <xdr:row>0</xdr:row>
                    <xdr:rowOff>0</xdr:rowOff>
                  </from>
                  <to>
                    <xdr:col>7</xdr:col>
                    <xdr:colOff>990600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98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99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100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110">
              <controlPr defaultSize="0" print="0" autoFill="0" autoPict="0" macro="[0]!Configuration">
                <anchor moveWithCells="1" sizeWithCells="1">
                  <from>
                    <xdr:col>4</xdr:col>
                    <xdr:colOff>571500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111">
              <controlPr defaultSize="0" print="0" autoFill="0" autoPict="0" macro="[0]!Fournisseur">
                <anchor moveWithCells="1" sizeWithCells="1">
                  <from>
                    <xdr:col>5</xdr:col>
                    <xdr:colOff>38100</xdr:colOff>
                    <xdr:row>0</xdr:row>
                    <xdr:rowOff>0</xdr:rowOff>
                  </from>
                  <to>
                    <xdr:col>7</xdr:col>
                    <xdr:colOff>990600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112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113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14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65AC66BE252F4398E571D2F9D36695" ma:contentTypeVersion="19" ma:contentTypeDescription="Crée un document." ma:contentTypeScope="" ma:versionID="47eb1aad6f0a1fbaefbd364e4e3874c1">
  <xsd:schema xmlns:xsd="http://www.w3.org/2001/XMLSchema" xmlns:xs="http://www.w3.org/2001/XMLSchema" xmlns:p="http://schemas.microsoft.com/office/2006/metadata/properties" xmlns:ns2="9ce1e23b-08c2-4406-bbb3-a160e90ff19f" xmlns:ns3="986ec48b-8b63-4faf-9c8b-ec296fe44942" targetNamespace="http://schemas.microsoft.com/office/2006/metadata/properties" ma:root="true" ma:fieldsID="2eef94acbeccc20aa91c4d4db15d6fe3" ns2:_="" ns3:_="">
    <xsd:import namespace="9ce1e23b-08c2-4406-bbb3-a160e90ff19f"/>
    <xsd:import namespace="986ec48b-8b63-4faf-9c8b-ec296fe4494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e1e23b-08c2-4406-bbb3-a160e90ff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a06a538d-c9ef-4c97-8338-b7528474d2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ec48b-8b63-4faf-9c8b-ec296fe4494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description="" ma:hidden="true" ma:list="{00ebfc80-c4b1-4f32-abe8-09c9f7ecea61}" ma:internalName="TaxCatchAll" ma:showField="CatchAllData" ma:web="986ec48b-8b63-4faf-9c8b-ec296fe4494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655E73-250C-45FB-BC39-9EF637F30A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DA630E-DFED-42F7-AA9C-0D775E8B26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e1e23b-08c2-4406-bbb3-a160e90ff19f"/>
    <ds:schemaRef ds:uri="986ec48b-8b63-4faf-9c8b-ec296fe4494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Feuille Sauvegarde</vt:lpstr>
      <vt:lpstr>'Feuille Sauvegarde'!Zone_d_impression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Montfermé Arnaud</dc:creator>
  <cp:keywords/>
  <dc:description/>
  <cp:lastModifiedBy>Hofer Lukas</cp:lastModifiedBy>
  <cp:revision/>
  <dcterms:created xsi:type="dcterms:W3CDTF">2025-01-24T13:53:34Z</dcterms:created>
  <dcterms:modified xsi:type="dcterms:W3CDTF">2026-05-17T17:04:50Z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0x0101000D65AC66BE252F4398E571D2F9D36695</vt:lpwstr>
  </property>
  <property fmtid="{D5CDD505-2E9C-101B-9397-08002B2CF9AE}" pid="3" name="TaxCatchAll">
    <vt:lpwstr/>
  </property>
  <property fmtid="{D5CDD505-2E9C-101B-9397-08002B2CF9AE}" pid="4" name="lcf76f155ced4ddcb4097134ff3c332f">
    <vt:lpwstr/>
  </property>
</Properties>
</file>