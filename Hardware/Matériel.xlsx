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kas\Desktop\m7-Lecteur-RFID\Hardware\"/>
    </mc:Choice>
  </mc:AlternateContent>
  <xr:revisionPtr revIDLastSave="0" documentId="13_ncr:1_{38ED39A1-4278-4EB4-B6AF-0F08948ACA16}" xr6:coauthVersionLast="47" xr6:coauthVersionMax="47" xr10:uidLastSave="{00000000-0000-0000-0000-000000000000}"/>
  <bookViews>
    <workbookView xWindow="20808" yWindow="0" windowWidth="10008" windowHeight="16656" xr2:uid="{00000000-000D-0000-FFFF-FFFF00000000}"/>
  </bookViews>
  <sheets>
    <sheet name="Liste de matériels (prototy (2)" sheetId="4" r:id="rId1"/>
    <sheet name="Liste de matériels (prototype)" sheetId="1" r:id="rId2"/>
    <sheet name="Commandes" sheetId="2" r:id="rId3"/>
    <sheet name="XIAO ESP32" sheetId="3" r:id="rId4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4" l="1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26" i="1" s="1"/>
  <c r="J4" i="1"/>
  <c r="K24" i="4" l="1"/>
</calcChain>
</file>

<file path=xl/sharedStrings.xml><?xml version="1.0" encoding="utf-8"?>
<sst xmlns="http://schemas.openxmlformats.org/spreadsheetml/2006/main" count="377" uniqueCount="207">
  <si>
    <t>Reference</t>
  </si>
  <si>
    <t>Nom</t>
  </si>
  <si>
    <t>Valeur</t>
  </si>
  <si>
    <t>Ref fab.</t>
  </si>
  <si>
    <t>datasheet</t>
  </si>
  <si>
    <t>Fournisseur</t>
  </si>
  <si>
    <t>prix</t>
  </si>
  <si>
    <t>nombre</t>
  </si>
  <si>
    <t>somme</t>
  </si>
  <si>
    <t>C1</t>
  </si>
  <si>
    <t>Condensateur électrolytique</t>
  </si>
  <si>
    <t>470µF</t>
  </si>
  <si>
    <t>REF1020471M050K</t>
  </si>
  <si>
    <t>./Datasheets/Condensateur  470 uF elec - ref-series.pdf</t>
  </si>
  <si>
    <t>Mouser</t>
  </si>
  <si>
    <t>C2</t>
  </si>
  <si>
    <t>Condensateur ceram</t>
  </si>
  <si>
    <t>4.7μF</t>
  </si>
  <si>
    <t>GRM319R61H475KA12D</t>
  </si>
  <si>
    <t>./Datasheets/Condensateur  4,7 uF ceram - GRM319R61H475KA12_01A.pdf</t>
  </si>
  <si>
    <t>C3</t>
  </si>
  <si>
    <t>10µF</t>
  </si>
  <si>
    <t>CL31A106MBHNNNE</t>
  </si>
  <si>
    <t>./Datasheets/DataSheet_CL31A106MBHNNN_20260505.pdf</t>
  </si>
  <si>
    <t>C4</t>
  </si>
  <si>
    <t>22µF</t>
  </si>
  <si>
    <t>RDEC71H226MWK1H03B</t>
  </si>
  <si>
    <t>./Datasheets/Condensateur  22 uF ceram - GRM188R61A226ME15-02A.pdf</t>
  </si>
  <si>
    <t>D1</t>
  </si>
  <si>
    <t>Diode Schottky</t>
  </si>
  <si>
    <t>BX36_R1</t>
  </si>
  <si>
    <t>BX36_R1_00001</t>
  </si>
  <si>
    <t>./Datasheets/Diode - BX36_R1_00001.pdf</t>
  </si>
  <si>
    <t>D2</t>
  </si>
  <si>
    <t>diode TVS</t>
  </si>
  <si>
    <t>SMAJ28A</t>
  </si>
  <si>
    <t>SMAJ28A/TR13</t>
  </si>
  <si>
    <t>./Datasheets/SMAJ_1.pdf</t>
  </si>
  <si>
    <t>E1</t>
  </si>
  <si>
    <t>Écran OLED</t>
  </si>
  <si>
    <t>DM-OLED096-636</t>
  </si>
  <si>
    <t>DST-015 (OLED SSD1305)</t>
  </si>
  <si>
    <t>E2, E3</t>
  </si>
  <si>
    <t>LED (ambre)</t>
  </si>
  <si>
    <t>LED</t>
  </si>
  <si>
    <t>LTST-C150AKT</t>
  </si>
  <si>
    <t>./Datasheets/AmberLed - LTST-C150AKT.pdf</t>
  </si>
  <si>
    <t>F1</t>
  </si>
  <si>
    <t>Fusible réarmable</t>
  </si>
  <si>
    <t>PTC 1A</t>
  </si>
  <si>
    <t>MF-R050</t>
  </si>
  <si>
    <t>./Datasheets/PTC.pdf</t>
  </si>
  <si>
    <t>J1, J2</t>
  </si>
  <si>
    <t>Bornier</t>
  </si>
  <si>
    <t>TB0011-350-04GR</t>
  </si>
  <si>
    <t>./Datasheets/TB0011-350-04GR.pdf</t>
  </si>
  <si>
    <t>L1</t>
  </si>
  <si>
    <t>inductance torique</t>
  </si>
  <si>
    <t>300 µH</t>
  </si>
  <si>
    <t>./Datasheets/induct - 7447060.pdf</t>
  </si>
  <si>
    <t>L2</t>
  </si>
  <si>
    <t>inductance de mode commun</t>
  </si>
  <si>
    <t>5 mH</t>
  </si>
  <si>
    <t>SS11VL-11050</t>
  </si>
  <si>
    <t>./Datasheets/induct - SS11VL_11050.pdf</t>
  </si>
  <si>
    <t>PS1</t>
  </si>
  <si>
    <t>Alimentation</t>
  </si>
  <si>
    <t>TSR_1-2433E</t>
  </si>
  <si>
    <t>TSR 1-2433E</t>
  </si>
  <si>
    <t>./Datasheets/TSR 1-2433E - tsr1e_datasheet.pdf</t>
  </si>
  <si>
    <t>R1, R5</t>
  </si>
  <si>
    <t>Résistance</t>
  </si>
  <si>
    <t>68 R</t>
  </si>
  <si>
    <t>AC1206JR-0768RL</t>
  </si>
  <si>
    <t>./Datasheets/68R - PYU_AC_51_ROHS_L.pdf</t>
  </si>
  <si>
    <t>R2</t>
  </si>
  <si>
    <t>120 R</t>
  </si>
  <si>
    <t xml:space="preserve"> RC1206JR-07120RL</t>
  </si>
  <si>
    <t>./Datasheets/120R - YAGEO_PYu_RC_Group_51_RoHS_L_12.pdf</t>
  </si>
  <si>
    <t>R3, R4</t>
  </si>
  <si>
    <t>4k7</t>
  </si>
  <si>
    <t>RC1206JR-104K7L</t>
  </si>
  <si>
    <t>S1</t>
  </si>
  <si>
    <t>Switch horizontal</t>
  </si>
  <si>
    <t>SLW-874744</t>
  </si>
  <si>
    <t>SLW-874744-6A-RA-N-D</t>
  </si>
  <si>
    <t>./Datasheets/slw_874744_6a_ra_n_d.pdf</t>
  </si>
  <si>
    <t>U1</t>
  </si>
  <si>
    <t>ESP32</t>
  </si>
  <si>
    <t>XIAO-ESP32-C6-DIP</t>
  </si>
  <si>
    <t>XIAO-ESP32-S3</t>
  </si>
  <si>
    <t>./Datasheets/esp32-s3.pdf</t>
  </si>
  <si>
    <t>U2</t>
  </si>
  <si>
    <t>Module RFID</t>
  </si>
  <si>
    <t>RFID-RC522</t>
  </si>
  <si>
    <t>Module SBC-RFID-RC522</t>
  </si>
  <si>
    <t>Inconnu</t>
  </si>
  <si>
    <t>U3</t>
  </si>
  <si>
    <t>transceiver UART</t>
  </si>
  <si>
    <t>MAX3485CSA_T</t>
  </si>
  <si>
    <t>MAX3485CSA+T</t>
  </si>
  <si>
    <t>./Datasheets/MAX3483_MAX3491.pdf</t>
  </si>
  <si>
    <t>RV1</t>
  </si>
  <si>
    <t>Varistance</t>
  </si>
  <si>
    <t>20D470K</t>
  </si>
  <si>
    <t>MOV-20D470K</t>
  </si>
  <si>
    <t>./Datasheets/Varistance - mov20d.pdf</t>
  </si>
  <si>
    <t>total</t>
  </si>
  <si>
    <t>TOUCH1</t>
  </si>
  <si>
    <t>A0</t>
  </si>
  <si>
    <t>GPIO1</t>
  </si>
  <si>
    <t>D0</t>
  </si>
  <si>
    <t>XIAO ESP32-S3</t>
  </si>
  <si>
    <t>5V</t>
  </si>
  <si>
    <t>dual-core 240MHz</t>
  </si>
  <si>
    <t>TOUCH2</t>
  </si>
  <si>
    <t>A1</t>
  </si>
  <si>
    <t>GPIO2</t>
  </si>
  <si>
    <t>GND</t>
  </si>
  <si>
    <t>8MB PSRAM</t>
  </si>
  <si>
    <t>TOUCH3</t>
  </si>
  <si>
    <t>A2</t>
  </si>
  <si>
    <t>GPIO3</t>
  </si>
  <si>
    <t>3V3</t>
  </si>
  <si>
    <t>8MB Flash</t>
  </si>
  <si>
    <t>TOUCH4</t>
  </si>
  <si>
    <t>A3</t>
  </si>
  <si>
    <t>GPIO4</t>
  </si>
  <si>
    <t>D3</t>
  </si>
  <si>
    <t>D10</t>
  </si>
  <si>
    <t>GPIO9</t>
  </si>
  <si>
    <t>A10</t>
  </si>
  <si>
    <t>MOSI</t>
  </si>
  <si>
    <t>TOUCH9</t>
  </si>
  <si>
    <t>https://wiki.seeedstudio.com/xiao_esp32s3_getting_started/</t>
  </si>
  <si>
    <t>TOUCH5</t>
  </si>
  <si>
    <t>SDA</t>
  </si>
  <si>
    <t>A4</t>
  </si>
  <si>
    <t>GPIO5</t>
  </si>
  <si>
    <t>D4</t>
  </si>
  <si>
    <t>D9</t>
  </si>
  <si>
    <t>GPIO8</t>
  </si>
  <si>
    <t>A9</t>
  </si>
  <si>
    <t>MISO</t>
  </si>
  <si>
    <t>TOUCH8</t>
  </si>
  <si>
    <t>TOUCH6</t>
  </si>
  <si>
    <t>SCL</t>
  </si>
  <si>
    <t>A5</t>
  </si>
  <si>
    <t>GPIO6</t>
  </si>
  <si>
    <t>D5</t>
  </si>
  <si>
    <t>D8</t>
  </si>
  <si>
    <t>GPIO7</t>
  </si>
  <si>
    <t>A8</t>
  </si>
  <si>
    <t>SCK</t>
  </si>
  <si>
    <t>TOUCH7</t>
  </si>
  <si>
    <t>TX</t>
  </si>
  <si>
    <t>GPIO43</t>
  </si>
  <si>
    <t>D6</t>
  </si>
  <si>
    <t>D7</t>
  </si>
  <si>
    <t>GPIO44</t>
  </si>
  <si>
    <t>RX</t>
  </si>
  <si>
    <t>LP_GPIO1</t>
  </si>
  <si>
    <t>GPIO0</t>
  </si>
  <si>
    <t>XIAO ESP32-C6</t>
  </si>
  <si>
    <t>dual-core 160MHz</t>
  </si>
  <si>
    <t>LP_GPIO2</t>
  </si>
  <si>
    <t>512KB SRAM</t>
  </si>
  <si>
    <t>SDIO_DATA1</t>
  </si>
  <si>
    <t>GPIO21</t>
  </si>
  <si>
    <t>GPIO18</t>
  </si>
  <si>
    <t>SDIO_CMD</t>
  </si>
  <si>
    <t>4 MB Flash</t>
  </si>
  <si>
    <t>SDIO_DATA2</t>
  </si>
  <si>
    <t>GPIO22</t>
  </si>
  <si>
    <t>GPIO20</t>
  </si>
  <si>
    <t>SDIO_DATA0</t>
  </si>
  <si>
    <t>https://wiki.seeedstudio.com/xiao_esp32C6_getting_started/</t>
  </si>
  <si>
    <t>SDIO_DATA3</t>
  </si>
  <si>
    <t>GPIO23</t>
  </si>
  <si>
    <t>GPIO19</t>
  </si>
  <si>
    <t>SDIO_CLK</t>
  </si>
  <si>
    <t>GPIO16</t>
  </si>
  <si>
    <t>GPIO17</t>
  </si>
  <si>
    <t>Atelier ELT</t>
  </si>
  <si>
    <t>Ref Mouser</t>
  </si>
  <si>
    <t>581-REF1020471M050K</t>
  </si>
  <si>
    <t>81-GRM319R61H475KA2D</t>
  </si>
  <si>
    <t>187-CL31A106MBHNNNE</t>
  </si>
  <si>
    <t>81-RDEC71H226MWK1H3B</t>
  </si>
  <si>
    <t>241-BX36_R1_00001</t>
  </si>
  <si>
    <t>603-SMAJ28A/TR13</t>
  </si>
  <si>
    <t>392-CSANAVIDISPLAY1</t>
  </si>
  <si>
    <t>859-LTST-C150AKT</t>
  </si>
  <si>
    <t>652-MFR050</t>
  </si>
  <si>
    <t>179-TB0011-350-04GR</t>
  </si>
  <si>
    <t>710-7447060</t>
  </si>
  <si>
    <t>80-SS11VL-11050</t>
  </si>
  <si>
    <t>495-TSR1-2433E</t>
  </si>
  <si>
    <t>179-SLW8747446ARAND</t>
  </si>
  <si>
    <t>713-113991114</t>
  </si>
  <si>
    <t>700-MAX3485CSAT</t>
  </si>
  <si>
    <t>652-MOV-20D470K</t>
  </si>
  <si>
    <t>538-146153-0100</t>
  </si>
  <si>
    <t>146153-0100</t>
  </si>
  <si>
    <t>Antenne</t>
  </si>
  <si>
    <t>J3</t>
  </si>
  <si>
    <t>50ohms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</si>
</sst>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_-* #,##0.00\ [$CHF-100C]_-;\-* #,##0.00\ [$CHF-100C]_-;_-* &quot;-&quot;??\ [$CHF-100C]_-;_-@_-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</font>
    <font>
      <sz val="10"/>
      <name val="Calibri"/>
      <family val="2"/>
    </font>
    <font>
      <u/>
      <sz val="11"/>
      <color theme="10"/>
      <name val="Calibri"/>
      <family val="2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7" fillId="2" borderId="0" applyFont="0" applyFill="0" applyBorder="0"/>
  </cellStyleXfs>
  <cellXfs count="21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164" fontId="2" fillId="0" borderId="0" xfId="1" applyNumberFormat="1" applyFont="1" applyFill="1"/>
    <xf numFmtId="164" fontId="2" fillId="0" borderId="0" xfId="1" applyNumberFormat="1" applyFont="1" applyFill="1" applyAlignment="1">
      <alignment horizontal="right"/>
    </xf>
    <xf numFmtId="164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center"/>
    </xf>
    <xf numFmtId="164" fontId="2" fillId="0" borderId="0" xfId="0" applyNumberFormat="1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textRotation="180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8" fillId="0" borderId="0" xfId="0" applyFont="1"/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563942</xdr:colOff>
      <xdr:row>5</xdr:row>
      <xdr:rowOff>78580</xdr:rowOff>
    </xdr:from>
    <xdr:ext cx="3962752" cy="1844035"/>
    <xdr:pic>
      <xdr:nvPicPr>
        <xdr:cNvPr id="498148791" name="Image 498148790">
          <a:extLst>
            <a:ext uri="{FF2B5EF4-FFF2-40B4-BE49-F238E27FC236}">
              <a16:creationId xmlns:a16="http://schemas.microsoft.com/office/drawing/2014/main" id="{00000000-0008-0000-0200-0000B725B11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115" b="37357"/>
        <a:stretch/>
      </xdr:blipFill>
      <xdr:spPr bwMode="auto">
        <a:xfrm>
          <a:off x="6107492" y="983455"/>
          <a:ext cx="3962752" cy="1844035"/>
        </a:xfrm>
        <a:prstGeom prst="rect">
          <a:avLst/>
        </a:prstGeom>
      </xdr:spPr>
    </xdr:pic>
    <xdr:clientData/>
  </xdr:oneCellAnchor>
  <xdr:twoCellAnchor>
    <xdr:from>
      <xdr:col>12</xdr:col>
      <xdr:colOff>473659</xdr:colOff>
      <xdr:row>15</xdr:row>
      <xdr:rowOff>162251</xdr:rowOff>
    </xdr:from>
    <xdr:to>
      <xdr:col>20</xdr:col>
      <xdr:colOff>8905</xdr:colOff>
      <xdr:row>24</xdr:row>
      <xdr:rowOff>181574</xdr:rowOff>
    </xdr:to>
    <xdr:grpSp>
      <xdr:nvGrpSpPr>
        <xdr:cNvPr id="2" name="Grou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 bwMode="auto">
        <a:xfrm>
          <a:off x="6142939" y="2905451"/>
          <a:ext cx="4412046" cy="1665243"/>
          <a:chOff x="0" y="0"/>
          <a:chExt cx="4412045" cy="1654693"/>
        </a:xfrm>
      </xdr:grpSpPr>
      <xdr:pic>
        <xdr:nvPicPr>
          <xdr:cNvPr id="630608922" name="Image 630608921">
            <a:extLst>
              <a:ext uri="{FF2B5EF4-FFF2-40B4-BE49-F238E27FC236}">
                <a16:creationId xmlns:a16="http://schemas.microsoft.com/office/drawing/2014/main" id="{00000000-0008-0000-0200-00001A54962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b="55890"/>
          <a:stretch/>
        </xdr:blipFill>
        <xdr:spPr bwMode="auto">
          <a:xfrm>
            <a:off x="0" y="0"/>
            <a:ext cx="4412045" cy="1582228"/>
          </a:xfrm>
          <a:prstGeom prst="rect">
            <a:avLst/>
          </a:prstGeom>
        </xdr:spPr>
      </xdr:pic>
      <xdr:pic>
        <xdr:nvPicPr>
          <xdr:cNvPr id="632672839" name="Image 632672838">
            <a:extLst>
              <a:ext uri="{FF2B5EF4-FFF2-40B4-BE49-F238E27FC236}">
                <a16:creationId xmlns:a16="http://schemas.microsoft.com/office/drawing/2014/main" id="{00000000-0008-0000-0200-000047D2B52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t="95959"/>
          <a:stretch/>
        </xdr:blipFill>
        <xdr:spPr bwMode="auto">
          <a:xfrm>
            <a:off x="0" y="1509763"/>
            <a:ext cx="4412045" cy="144929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Id="rId18" Type="http://schemas.openxmlformats.org/officeDocument/2006/relationships/hyperlink" Target="https://eu.mouser.com/ProductDetail/Same-Sky/TB0011-350-04GR?qs=PBDs2xEllI8Qb4YnuFeAHQ%3D%3D" TargetMode="External"/><Relationship Id="rId26" Type="http://schemas.openxmlformats.org/officeDocument/2006/relationships/hyperlink" Target="https://www.mouser.ch/ProductDetail/Same-Sky/SLW-874744-6A-RA-N-D?qs=IKkN%2F947nfCTUBrapEhl3w%3D%3D" TargetMode="External"/><Relationship Id="rId3" Type="http://schemas.openxmlformats.org/officeDocument/2006/relationships/hyperlink" Target="https://www.mouser.ch/ProductDetail/Murata-Electronics/GRM319R61H475KA12D?qs=O5cugoO6nwcJ%2FK8D7TJIYw%3D%3D" TargetMode="External"/><Relationship Id="rId21" Type="http://schemas.openxmlformats.org/officeDocument/2006/relationships/hyperlink" Target="induct%20-%207447060.pdf" TargetMode="External"/><Relationship Id="rId7" Type="http://schemas.openxmlformats.org/officeDocument/2006/relationships/hyperlink" Target="https://www.mouser.ch/ProductDetail/Murata-Electronics/RDEC71H226MWK1H03B?qs=sGAEpiMZZMuMW9TJLBQkXsN8i%2FQjbyMXHpqOO5jqXVc%3D" TargetMode="External"/><Relationship Id="rId12" Type="http://schemas.openxmlformats.org/officeDocument/2006/relationships/hyperlink" Target="Datasheets/SMAJ_1.pdf" TargetMode="External"/><Relationship Id="rId17" Type="http://schemas.openxmlformats.org/officeDocument/2006/relationships/hyperlink" Target="Datasheets/PTC.pdf" TargetMode="External"/><Relationship Id="rId25" Type="http://schemas.openxmlformats.org/officeDocument/2006/relationships/hyperlink" Target="Datasheets/TSR%201-2433E%20-%20tsr1e_datasheet.pdf" TargetMode="External"/><Relationship Id="rId33" Type="http://schemas.openxmlformats.org/officeDocument/2006/relationships/hyperlink" Target="Datasheets/Varistance%20-%20mov20d.pdf" TargetMode="External"/><Relationship Id="rId2" Type="http://schemas.openxmlformats.org/officeDocument/2006/relationships/hyperlink" Target="Datasheets/Condensateur%20%20470%20uF%20elec%20-%20ref-series.pdf" TargetMode="External"/><Relationship Id="rId16" Type="http://schemas.openxmlformats.org/officeDocument/2006/relationships/hyperlink" Target="https://www.mouser.ch/ProductDetail/Bourns/MF-R050?qs=A6omU7D3gEWzJRzbTsuTwA%3D%3D" TargetMode="External"/><Relationship Id="rId20" Type="http://schemas.openxmlformats.org/officeDocument/2006/relationships/hyperlink" Target="https://www.mouser.fr/ProductDetail/Wurth-Elektronik/7447060?qs=sGAEpiMZZMv126LJFLh8y7bZMRioh4ww7S2La6H8kL0%3D" TargetMode="External"/><Relationship Id="rId29" Type="http://schemas.openxmlformats.org/officeDocument/2006/relationships/hyperlink" Target="Datasheets/esp32-s3.pdf" TargetMode="External"/><Relationship Id="rId1" Type="http://schemas.openxmlformats.org/officeDocument/2006/relationships/hyperlink" Target="https://www.mouser.ch/ProductDetail/KYOCERA-AVX/REF1020471M050K?qs=sGAEpiMZZMvwFf0viD3Y3bXvgfG2gej7mHR%2FB9hNRW8g9PvCnJ1nvg%3D%3D" TargetMode="External"/><Relationship Id="rId6" Type="http://schemas.openxmlformats.org/officeDocument/2006/relationships/hyperlink" Target="Datasheets/Condensateur%20%2010%20uF%20ceram%20-%20DataSheet_CL31A106MBHNNN_20260505.pdf" TargetMode="External"/><Relationship Id="rId11" Type="http://schemas.openxmlformats.org/officeDocument/2006/relationships/hyperlink" Target="https://eu.mouser.com/ProductDetail/YAGEO/SMAJ28A-TR13?qs=PzGy0jfpSMsLoNBGbvsUFQ%3D%3D" TargetMode="External"/><Relationship Id="rId24" Type="http://schemas.openxmlformats.org/officeDocument/2006/relationships/hyperlink" Target="https://eu.mouser.com/ProductDetail/TRACO-Power/TSR-1-2433E?qs=vmHwEFxEFR9haWIzn8wG3A%3D%3D" TargetMode="External"/><Relationship Id="rId32" Type="http://schemas.openxmlformats.org/officeDocument/2006/relationships/hyperlink" Target="https://www.mouser.fr/ProductDetail/Bourns/MOV-20D470K?qs=CQ3B1E%252BbPs3c5MjsJHIexQ%3D%3D" TargetMode="External"/><Relationship Id="rId5" Type="http://schemas.openxmlformats.org/officeDocument/2006/relationships/hyperlink" Target="https://www.mouser.ch/ProductDetail/Samsung-Electro-Mechanics/CL31A106MBHNNNE?qs=vLWxofP3U2ynwxdpGjlUyw%3D%3D" TargetMode="External"/><Relationship Id="rId15" Type="http://schemas.openxmlformats.org/officeDocument/2006/relationships/hyperlink" Target="Datasheets/AmberLed%20-%20LTST-C150AKT.pdf" TargetMode="External"/><Relationship Id="rId23" Type="http://schemas.openxmlformats.org/officeDocument/2006/relationships/hyperlink" Target="Datasheets/induct%20-%20SS11VL_11050.pdf" TargetMode="External"/><Relationship Id="rId28" Type="http://schemas.openxmlformats.org/officeDocument/2006/relationships/hyperlink" Target="https://www.mouser.ch/ProductDetail/Seeed-Studio/113991114?qs=3Rah4i%252BhyCEHk7Z4Wa73Xg%3D%3D&amp;mgh=1&amp;gad_campaignid=20000144849" TargetMode="External"/><Relationship Id="rId10" Type="http://schemas.openxmlformats.org/officeDocument/2006/relationships/hyperlink" Target="Datasheets/Diode%20-%20BX36_R1_00001.pd.pdf" TargetMode="External"/><Relationship Id="rId19" Type="http://schemas.openxmlformats.org/officeDocument/2006/relationships/hyperlink" Target="Datasheets/TB0011-350-04GR.pdf" TargetMode="External"/><Relationship Id="rId31" Type="http://schemas.openxmlformats.org/officeDocument/2006/relationships/hyperlink" Target="Datasheets/MAX3483_MAX3491.pdf" TargetMode="External"/><Relationship Id="rId4" Type="http://schemas.openxmlformats.org/officeDocument/2006/relationships/hyperlink" Target="Datasheets/Condensateur%20%204,7%20uF%20ceram%20-%20GRM319R61H475KA12_01A.pdf" TargetMode="External"/><Relationship Id="rId9" Type="http://schemas.openxmlformats.org/officeDocument/2006/relationships/hyperlink" Target="https://www.mouser.ch/ProductDetail/Panjit/BX36_R1_00001?qs=sPbYRqrBIVmjqOTXjM%2FXjA%3D%3D" TargetMode="External"/><Relationship Id="rId14" Type="http://schemas.openxmlformats.org/officeDocument/2006/relationships/hyperlink" Target="https://www.mouser.ch/ProductDetail/LITEON/LTST-C150AKT?qs=osRiLXwIJd0WBpdBnGWjYQ%3D%3D" TargetMode="External"/><Relationship Id="rId22" Type="http://schemas.openxmlformats.org/officeDocument/2006/relationships/hyperlink" Target="https://www.mouser.fr/ProductDetail/KEMET/SS11VL-11050?qs=EU6FO9ffTwcryP%252B%2F%252BYgxUg%3D%3D" TargetMode="External"/><Relationship Id="rId27" Type="http://schemas.openxmlformats.org/officeDocument/2006/relationships/hyperlink" Target="Datasheets/slw_874744_6a_ra_n_d.pdf" TargetMode="External"/><Relationship Id="rId30" Type="http://schemas.openxmlformats.org/officeDocument/2006/relationships/hyperlink" Target="https://www.mouser.ch/ProductDetail/Analog-Devices-Maxim-Integrated/MAX3485CSA%2bT?qs=LHmEVA8xxfaEoE%252B%2FCK4kMg%3D%3D" TargetMode="External"/><Relationship Id="rId8" Type="http://schemas.openxmlformats.org/officeDocument/2006/relationships/hyperlink" Target="Datasheets/Condensateur%20%2022%20uF%20ceram%20-%20GRM188R61A226ME15-02A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Id="rId18" Type="http://schemas.openxmlformats.org/officeDocument/2006/relationships/hyperlink" Target="https://eu.mouser.com/ProductDetail/Same-Sky/TB0011-350-04GR?qs=PBDs2xEllI8Qb4YnuFeAHQ%3D%3D" TargetMode="External"/><Relationship Id="rId26" Type="http://schemas.openxmlformats.org/officeDocument/2006/relationships/hyperlink" Target="https://www.mouser.ch/ProductDetail/YAGEO/AC1206JR-0768RL?qs=sGAEpiMZZMtlubZbdhIBIH9nMdKz1PS4cbS68O8anDU%3D" TargetMode="External"/><Relationship Id="rId39" Type="http://schemas.openxmlformats.org/officeDocument/2006/relationships/hyperlink" Target="Datasheets/Varistance%20-%20mov20d.pdf" TargetMode="External"/><Relationship Id="rId21" Type="http://schemas.openxmlformats.org/officeDocument/2006/relationships/hyperlink" Target="induct%20-%207447060.pdf" TargetMode="External"/><Relationship Id="rId34" Type="http://schemas.openxmlformats.org/officeDocument/2006/relationships/hyperlink" Target="https://www.mouser.ch/ProductDetail/Seeed-Studio/113991114?qs=3Rah4i%252BhyCEHk7Z4Wa73Xg%3D%3D&amp;mgh=1&amp;gad_campaignid=20000144849" TargetMode="External"/><Relationship Id="rId7" Type="http://schemas.openxmlformats.org/officeDocument/2006/relationships/hyperlink" Target="https://www.mouser.ch/ProductDetail/Murata-Electronics/RDEC71H226MWK1H03B?qs=sGAEpiMZZMuMW9TJLBQkXsN8i%2FQjbyMXHpqOO5jqXVc%3D" TargetMode="External"/><Relationship Id="rId12" Type="http://schemas.openxmlformats.org/officeDocument/2006/relationships/hyperlink" Target="Datasheets/SMAJ_1.pdf" TargetMode="External"/><Relationship Id="rId17" Type="http://schemas.openxmlformats.org/officeDocument/2006/relationships/hyperlink" Target="Datasheets/PTC.pdf" TargetMode="External"/><Relationship Id="rId25" Type="http://schemas.openxmlformats.org/officeDocument/2006/relationships/hyperlink" Target="Datasheets/TSR%201-2433E%20-%20tsr1e_datasheet.pdf" TargetMode="External"/><Relationship Id="rId33" Type="http://schemas.openxmlformats.org/officeDocument/2006/relationships/hyperlink" Target="Datasheets/slw_874744_6a_ra_n_d.pdf" TargetMode="External"/><Relationship Id="rId38" Type="http://schemas.openxmlformats.org/officeDocument/2006/relationships/hyperlink" Target="https://www.mouser.fr/ProductDetail/Bourns/MOV-20D470K?qs=CQ3B1E%252BbPs3c5MjsJHIexQ%3D%3D" TargetMode="External"/><Relationship Id="rId2" Type="http://schemas.openxmlformats.org/officeDocument/2006/relationships/hyperlink" Target="Datasheets/Condensateur%20%20470%20uF%20elec%20-%20ref-series.pdf" TargetMode="External"/><Relationship Id="rId16" Type="http://schemas.openxmlformats.org/officeDocument/2006/relationships/hyperlink" Target="https://www.mouser.ch/ProductDetail/Bourns/MF-R050?qs=A6omU7D3gEWzJRzbTsuTwA%3D%3D" TargetMode="External"/><Relationship Id="rId20" Type="http://schemas.openxmlformats.org/officeDocument/2006/relationships/hyperlink" Target="https://www.mouser.fr/ProductDetail/Wurth-Elektronik/7447060?qs=sGAEpiMZZMv126LJFLh8y7bZMRioh4ww7S2La6H8kL0%3D" TargetMode="External"/><Relationship Id="rId29" Type="http://schemas.openxmlformats.org/officeDocument/2006/relationships/hyperlink" Target="Datasheets/120R%20-%20YAGEO_PYu_RC_Group_51_RoHS_L_12.pdf" TargetMode="External"/><Relationship Id="rId1" Type="http://schemas.openxmlformats.org/officeDocument/2006/relationships/hyperlink" Target="https://www.mouser.ch/ProductDetail/KYOCERA-AVX/REF1020471M050K?qs=sGAEpiMZZMvwFf0viD3Y3bXvgfG2gej7mHR%2FB9hNRW8g9PvCnJ1nvg%3D%3D" TargetMode="External"/><Relationship Id="rId6" Type="http://schemas.openxmlformats.org/officeDocument/2006/relationships/hyperlink" Target="Datasheets/Condensateur%20%2010%20uF%20ceram%20-%20DataSheet_CL31A106MBHNNN_20260505.pdf" TargetMode="External"/><Relationship Id="rId11" Type="http://schemas.openxmlformats.org/officeDocument/2006/relationships/hyperlink" Target="https://eu.mouser.com/ProductDetail/YAGEO/SMAJ28A-TR13?qs=PzGy0jfpSMsLoNBGbvsUFQ%3D%3D" TargetMode="External"/><Relationship Id="rId24" Type="http://schemas.openxmlformats.org/officeDocument/2006/relationships/hyperlink" Target="https://eu.mouser.com/ProductDetail/TRACO-Power/TSR-1-2433E?qs=vmHwEFxEFR9haWIzn8wG3A%3D%3D" TargetMode="External"/><Relationship Id="rId32" Type="http://schemas.openxmlformats.org/officeDocument/2006/relationships/hyperlink" Target="https://www.mouser.ch/ProductDetail/Same-Sky/SLW-874744-6A-RA-N-D?qs=IKkN%2F947nfCTUBrapEhl3w%3D%3D" TargetMode="External"/><Relationship Id="rId37" Type="http://schemas.openxmlformats.org/officeDocument/2006/relationships/hyperlink" Target="Datasheets/MAX3483_MAX3491.pdf" TargetMode="External"/><Relationship Id="rId5" Type="http://schemas.openxmlformats.org/officeDocument/2006/relationships/hyperlink" Target="https://www.mouser.ch/ProductDetail/Samsung-Electro-Mechanics/CL31A106MBHNNNE?qs=vLWxofP3U2ynwxdpGjlUyw%3D%3D" TargetMode="External"/><Relationship Id="rId15" Type="http://schemas.openxmlformats.org/officeDocument/2006/relationships/hyperlink" Target="Datasheets/AmberLed%20-%20LTST-C150AKT.pdf" TargetMode="External"/><Relationship Id="rId23" Type="http://schemas.openxmlformats.org/officeDocument/2006/relationships/hyperlink" Target="Datasheets/induct%20-%20SS11VL_11050.pdf" TargetMode="External"/><Relationship Id="rId28" Type="http://schemas.openxmlformats.org/officeDocument/2006/relationships/hyperlink" Target="https://www.mouser.ch/ProductDetail/YAGEO/RC1206JR-07120RL?qs=sGAEpiMZZMtlubZbdhIBIA%2FbwdaGwAn1%2FLjWR2LFRS0%3D" TargetMode="External"/><Relationship Id="rId36" Type="http://schemas.openxmlformats.org/officeDocument/2006/relationships/hyperlink" Target="https://www.mouser.ch/ProductDetail/Analog-Devices-Maxim-Integrated/MAX3485CSA%2bT?qs=LHmEVA8xxfaEoE%252B%2FCK4kMg%3D%3D" TargetMode="External"/><Relationship Id="rId10" Type="http://schemas.openxmlformats.org/officeDocument/2006/relationships/hyperlink" Target="Datasheets/Diode%20-%20BX36_R1_00001.pd.pdf" TargetMode="External"/><Relationship Id="rId19" Type="http://schemas.openxmlformats.org/officeDocument/2006/relationships/hyperlink" Target="Datasheets/TB0011-350-04GR.pdf" TargetMode="External"/><Relationship Id="rId31" Type="http://schemas.openxmlformats.org/officeDocument/2006/relationships/hyperlink" Target="Datasheets/120R%20-%20YAGEO_PYu_RC_Group_51_RoHS_L_12.pdf" TargetMode="External"/><Relationship Id="rId4" Type="http://schemas.openxmlformats.org/officeDocument/2006/relationships/hyperlink" Target="Datasheets/Condensateur%20%204,7%20uF%20ceram%20-%20GRM319R61H475KA12_01A.pdf" TargetMode="External"/><Relationship Id="rId9" Type="http://schemas.openxmlformats.org/officeDocument/2006/relationships/hyperlink" Target="https://www.mouser.ch/ProductDetail/Panjit/BX36_R1_00001?qs=sPbYRqrBIVmjqOTXjM%2FXjA%3D%3D" TargetMode="External"/><Relationship Id="rId14" Type="http://schemas.openxmlformats.org/officeDocument/2006/relationships/hyperlink" Target="https://www.mouser.ch/ProductDetail/LITEON/LTST-C150AKT?qs=osRiLXwIJd0WBpdBnGWjYQ%3D%3D" TargetMode="External"/><Relationship Id="rId22" Type="http://schemas.openxmlformats.org/officeDocument/2006/relationships/hyperlink" Target="https://www.mouser.fr/ProductDetail/KEMET/SS11VL-11050?qs=EU6FO9ffTwcryP%252B%2F%252BYgxUg%3D%3D" TargetMode="External"/><Relationship Id="rId27" Type="http://schemas.openxmlformats.org/officeDocument/2006/relationships/hyperlink" Target="Datasheets/68R%20-%20PYU_AC_51_ROHS_L.pdf" TargetMode="External"/><Relationship Id="rId30" Type="http://schemas.openxmlformats.org/officeDocument/2006/relationships/hyperlink" Target="https://www.mouser.ch/ProductDetail/YAGEO/RC1206JR-104K7L?qs=sGAEpiMZZMtlubZbdhIBIItyFMA%252B5zWOk42r453nALc%3D" TargetMode="External"/><Relationship Id="rId35" Type="http://schemas.openxmlformats.org/officeDocument/2006/relationships/hyperlink" Target="Datasheets/esp32-s3.pdf" TargetMode="External"/><Relationship Id="rId8" Type="http://schemas.openxmlformats.org/officeDocument/2006/relationships/hyperlink" Target="Datasheets/Condensateur%20%2022%20uF%20ceram%20-%20GRM188R61A226ME15-02A.pdf" TargetMode="External"/><Relationship Id="rId3" Type="http://schemas.openxmlformats.org/officeDocument/2006/relationships/hyperlink" Target="https://www.mouser.ch/ProductDetail/Murata-Electronics/GRM319R61H475KA12D?qs=O5cugoO6nwcJ%2FK8D7TJIYw%3D%3D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iki.seeedstudio.com/xiao_esp32C6_getting_started/" TargetMode="External"/><Relationship Id="rId1" Type="http://schemas.openxmlformats.org/officeDocument/2006/relationships/hyperlink" Target="https://wiki.seeedstudio.com/xiao_esp32s3_getting_starte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5CEEE-F01C-46F1-946A-EB9EC6A19C4E}">
  <sheetPr>
    <tabColor theme="4"/>
    <pageSetUpPr fitToPage="1"/>
  </sheetPr>
  <dimension ref="B3:M24"/>
  <sheetViews>
    <sheetView tabSelected="1" topLeftCell="J1" zoomScaleNormal="100" workbookViewId="0">
      <selection activeCell="P27" sqref="P27"/>
    </sheetView>
  </sheetViews>
  <sheetFormatPr baseColWidth="10" defaultColWidth="8.88671875" defaultRowHeight="14.4" x14ac:dyDescent="0.3"/>
  <cols>
    <col min="1" max="1" width="10" customWidth="1"/>
    <col min="2" max="2" width="9.44140625" bestFit="1" customWidth="1"/>
    <col min="3" max="3" width="24.33203125" bestFit="1" customWidth="1"/>
    <col min="4" max="4" width="24.33203125" customWidth="1"/>
    <col min="5" max="5" width="20" bestFit="1" customWidth="1"/>
    <col min="6" max="6" width="24" bestFit="1" customWidth="1"/>
    <col min="7" max="7" width="65.109375" bestFit="1" customWidth="1"/>
    <col min="8" max="8" width="11.44140625" bestFit="1" customWidth="1"/>
    <col min="9" max="9" width="10.44140625" bestFit="1" customWidth="1"/>
    <col min="10" max="10" width="7.77734375" bestFit="1" customWidth="1"/>
    <col min="11" max="11" width="11.44140625" bestFit="1" customWidth="1"/>
  </cols>
  <sheetData>
    <row r="3" spans="2:13" x14ac:dyDescent="0.3">
      <c r="B3" t="s">
        <v>0</v>
      </c>
      <c r="C3" s="1" t="s">
        <v>1</v>
      </c>
      <c r="D3" s="1" t="s">
        <v>2</v>
      </c>
      <c r="E3" s="19" t="s">
        <v>184</v>
      </c>
      <c r="F3" s="1" t="s">
        <v>3</v>
      </c>
      <c r="G3" s="1" t="s">
        <v>4</v>
      </c>
      <c r="H3" s="2" t="s">
        <v>5</v>
      </c>
      <c r="I3" s="2" t="s">
        <v>6</v>
      </c>
      <c r="J3" s="2" t="s">
        <v>7</v>
      </c>
      <c r="K3" s="3" t="s">
        <v>8</v>
      </c>
    </row>
    <row r="4" spans="2:13" x14ac:dyDescent="0.3">
      <c r="B4" t="s">
        <v>9</v>
      </c>
      <c r="C4" s="4" t="s">
        <v>10</v>
      </c>
      <c r="D4" t="s">
        <v>11</v>
      </c>
      <c r="E4" s="20" t="s">
        <v>185</v>
      </c>
      <c r="F4" s="5" t="s">
        <v>12</v>
      </c>
      <c r="G4" s="5" t="s">
        <v>13</v>
      </c>
      <c r="H4" s="6" t="s">
        <v>14</v>
      </c>
      <c r="I4" s="7">
        <v>0.56999999999999995</v>
      </c>
      <c r="J4" s="2">
        <v>1</v>
      </c>
      <c r="K4" s="8">
        <f t="shared" ref="K4:K21" si="0">J4*I4</f>
        <v>0.56999999999999995</v>
      </c>
    </row>
    <row r="5" spans="2:13" x14ac:dyDescent="0.3">
      <c r="B5" t="s">
        <v>15</v>
      </c>
      <c r="C5" s="4" t="s">
        <v>16</v>
      </c>
      <c r="D5" t="s">
        <v>17</v>
      </c>
      <c r="E5" s="20" t="s">
        <v>186</v>
      </c>
      <c r="F5" s="5" t="s">
        <v>18</v>
      </c>
      <c r="G5" s="5" t="s">
        <v>19</v>
      </c>
      <c r="H5" s="6" t="s">
        <v>14</v>
      </c>
      <c r="I5" s="7">
        <v>0.18</v>
      </c>
      <c r="J5" s="2">
        <v>1</v>
      </c>
      <c r="K5" s="8">
        <f t="shared" si="0"/>
        <v>0.18</v>
      </c>
      <c r="M5" s="9"/>
    </row>
    <row r="6" spans="2:13" x14ac:dyDescent="0.3">
      <c r="B6" t="s">
        <v>20</v>
      </c>
      <c r="C6" s="4" t="s">
        <v>16</v>
      </c>
      <c r="D6" t="s">
        <v>21</v>
      </c>
      <c r="E6" s="20" t="s">
        <v>187</v>
      </c>
      <c r="F6" s="5" t="s">
        <v>22</v>
      </c>
      <c r="G6" s="5" t="s">
        <v>23</v>
      </c>
      <c r="H6" s="6" t="s">
        <v>14</v>
      </c>
      <c r="I6" s="7">
        <v>0.21</v>
      </c>
      <c r="J6" s="2">
        <v>1</v>
      </c>
      <c r="K6" s="8">
        <f t="shared" si="0"/>
        <v>0.21</v>
      </c>
      <c r="L6" s="9"/>
    </row>
    <row r="7" spans="2:13" x14ac:dyDescent="0.3">
      <c r="B7" t="s">
        <v>24</v>
      </c>
      <c r="C7" s="4" t="s">
        <v>16</v>
      </c>
      <c r="D7" t="s">
        <v>25</v>
      </c>
      <c r="E7" s="20" t="s">
        <v>188</v>
      </c>
      <c r="F7" s="5" t="s">
        <v>26</v>
      </c>
      <c r="G7" s="5" t="s">
        <v>27</v>
      </c>
      <c r="H7" s="6" t="s">
        <v>14</v>
      </c>
      <c r="I7" s="7">
        <v>1.31</v>
      </c>
      <c r="J7" s="2">
        <v>1</v>
      </c>
      <c r="K7" s="8">
        <f t="shared" si="0"/>
        <v>1.31</v>
      </c>
      <c r="L7" s="9"/>
    </row>
    <row r="8" spans="2:13" x14ac:dyDescent="0.3">
      <c r="B8" t="s">
        <v>28</v>
      </c>
      <c r="C8" s="4" t="s">
        <v>29</v>
      </c>
      <c r="D8" t="s">
        <v>30</v>
      </c>
      <c r="E8" s="20" t="s">
        <v>189</v>
      </c>
      <c r="F8" s="5" t="s">
        <v>31</v>
      </c>
      <c r="G8" s="5" t="s">
        <v>32</v>
      </c>
      <c r="H8" s="6" t="s">
        <v>14</v>
      </c>
      <c r="I8" s="7">
        <v>0.28999999999999998</v>
      </c>
      <c r="J8" s="2">
        <v>1</v>
      </c>
      <c r="K8" s="8">
        <f t="shared" si="0"/>
        <v>0.28999999999999998</v>
      </c>
    </row>
    <row r="9" spans="2:13" x14ac:dyDescent="0.3">
      <c r="B9" t="s">
        <v>33</v>
      </c>
      <c r="C9" s="4" t="s">
        <v>34</v>
      </c>
      <c r="D9" t="s">
        <v>35</v>
      </c>
      <c r="E9" s="20" t="s">
        <v>190</v>
      </c>
      <c r="F9" s="10" t="s">
        <v>36</v>
      </c>
      <c r="G9" s="11" t="s">
        <v>37</v>
      </c>
      <c r="H9" s="6" t="s">
        <v>14</v>
      </c>
      <c r="I9" s="7">
        <v>0.11</v>
      </c>
      <c r="J9" s="2">
        <v>1</v>
      </c>
      <c r="K9" s="8">
        <f t="shared" si="0"/>
        <v>0.11</v>
      </c>
    </row>
    <row r="10" spans="2:13" x14ac:dyDescent="0.3">
      <c r="B10" t="s">
        <v>38</v>
      </c>
      <c r="C10" s="4" t="s">
        <v>39</v>
      </c>
      <c r="D10" t="s">
        <v>40</v>
      </c>
      <c r="E10" s="20" t="s">
        <v>191</v>
      </c>
      <c r="F10" s="5" t="s">
        <v>41</v>
      </c>
      <c r="G10" s="5"/>
      <c r="H10" s="6" t="s">
        <v>14</v>
      </c>
      <c r="I10" s="7">
        <v>5.36</v>
      </c>
      <c r="J10" s="2">
        <v>1</v>
      </c>
      <c r="K10" s="8">
        <f t="shared" si="0"/>
        <v>5.36</v>
      </c>
    </row>
    <row r="11" spans="2:13" x14ac:dyDescent="0.3">
      <c r="B11" t="s">
        <v>42</v>
      </c>
      <c r="C11" s="4" t="s">
        <v>43</v>
      </c>
      <c r="D11" t="s">
        <v>44</v>
      </c>
      <c r="E11" t="s">
        <v>192</v>
      </c>
      <c r="F11" s="5" t="s">
        <v>45</v>
      </c>
      <c r="G11" s="5" t="s">
        <v>46</v>
      </c>
      <c r="H11" s="6" t="s">
        <v>14</v>
      </c>
      <c r="I11" s="7">
        <v>0.11</v>
      </c>
      <c r="J11" s="2">
        <v>2</v>
      </c>
      <c r="K11" s="8">
        <f t="shared" si="0"/>
        <v>0.22</v>
      </c>
    </row>
    <row r="12" spans="2:13" x14ac:dyDescent="0.3">
      <c r="B12" t="s">
        <v>47</v>
      </c>
      <c r="C12" s="4" t="s">
        <v>48</v>
      </c>
      <c r="D12" t="s">
        <v>49</v>
      </c>
      <c r="E12" s="20" t="s">
        <v>193</v>
      </c>
      <c r="F12" s="5" t="s">
        <v>50</v>
      </c>
      <c r="G12" s="5" t="s">
        <v>51</v>
      </c>
      <c r="H12" s="6" t="s">
        <v>14</v>
      </c>
      <c r="I12" s="7">
        <v>0.32</v>
      </c>
      <c r="J12" s="2">
        <v>1</v>
      </c>
      <c r="K12" s="8">
        <f t="shared" si="0"/>
        <v>0.32</v>
      </c>
    </row>
    <row r="13" spans="2:13" x14ac:dyDescent="0.3">
      <c r="B13" t="s">
        <v>52</v>
      </c>
      <c r="C13" s="4" t="s">
        <v>53</v>
      </c>
      <c r="D13" t="s">
        <v>54</v>
      </c>
      <c r="E13" s="20" t="s">
        <v>194</v>
      </c>
      <c r="F13" s="5" t="s">
        <v>54</v>
      </c>
      <c r="G13" s="5" t="s">
        <v>55</v>
      </c>
      <c r="H13" s="6" t="s">
        <v>14</v>
      </c>
      <c r="I13" s="7">
        <v>0.71</v>
      </c>
      <c r="J13" s="2">
        <v>2</v>
      </c>
      <c r="K13" s="8">
        <f t="shared" si="0"/>
        <v>1.42</v>
      </c>
    </row>
    <row r="14" spans="2:13" x14ac:dyDescent="0.3">
      <c r="B14" t="s">
        <v>56</v>
      </c>
      <c r="C14" t="s">
        <v>57</v>
      </c>
      <c r="D14" t="s">
        <v>58</v>
      </c>
      <c r="E14" s="20" t="s">
        <v>195</v>
      </c>
      <c r="F14" s="10">
        <v>7447060</v>
      </c>
      <c r="G14" s="11" t="s">
        <v>59</v>
      </c>
      <c r="H14" s="6" t="s">
        <v>14</v>
      </c>
      <c r="I14" s="7">
        <v>2.06</v>
      </c>
      <c r="J14" s="2">
        <v>1</v>
      </c>
      <c r="K14" s="8">
        <f t="shared" si="0"/>
        <v>2.06</v>
      </c>
    </row>
    <row r="15" spans="2:13" x14ac:dyDescent="0.3">
      <c r="B15" t="s">
        <v>60</v>
      </c>
      <c r="C15" s="4" t="s">
        <v>61</v>
      </c>
      <c r="D15" t="s">
        <v>62</v>
      </c>
      <c r="E15" s="20" t="s">
        <v>196</v>
      </c>
      <c r="F15" s="5" t="s">
        <v>63</v>
      </c>
      <c r="G15" s="5" t="s">
        <v>64</v>
      </c>
      <c r="H15" s="6" t="s">
        <v>14</v>
      </c>
      <c r="I15" s="7">
        <v>1.49</v>
      </c>
      <c r="J15" s="2">
        <v>1</v>
      </c>
      <c r="K15" s="8">
        <f t="shared" si="0"/>
        <v>1.49</v>
      </c>
    </row>
    <row r="16" spans="2:13" x14ac:dyDescent="0.3">
      <c r="B16" t="s">
        <v>65</v>
      </c>
      <c r="C16" s="4" t="s">
        <v>66</v>
      </c>
      <c r="D16" t="s">
        <v>67</v>
      </c>
      <c r="E16" s="20" t="s">
        <v>197</v>
      </c>
      <c r="F16" s="5" t="s">
        <v>68</v>
      </c>
      <c r="G16" s="5" t="s">
        <v>69</v>
      </c>
      <c r="H16" s="6" t="s">
        <v>14</v>
      </c>
      <c r="I16" s="7">
        <v>2.92</v>
      </c>
      <c r="J16" s="2">
        <v>1</v>
      </c>
      <c r="K16" s="8">
        <f t="shared" si="0"/>
        <v>2.92</v>
      </c>
    </row>
    <row r="17" spans="2:11" x14ac:dyDescent="0.3">
      <c r="B17" t="s">
        <v>82</v>
      </c>
      <c r="C17" s="4" t="s">
        <v>83</v>
      </c>
      <c r="D17" t="s">
        <v>84</v>
      </c>
      <c r="E17" s="20" t="s">
        <v>198</v>
      </c>
      <c r="F17" s="5" t="s">
        <v>85</v>
      </c>
      <c r="G17" s="5" t="s">
        <v>86</v>
      </c>
      <c r="H17" s="6" t="s">
        <v>14</v>
      </c>
      <c r="I17" s="7">
        <v>0.41</v>
      </c>
      <c r="J17" s="2">
        <v>1</v>
      </c>
      <c r="K17" s="8">
        <f t="shared" si="0"/>
        <v>0.41</v>
      </c>
    </row>
    <row r="18" spans="2:11" x14ac:dyDescent="0.3">
      <c r="B18" t="s">
        <v>87</v>
      </c>
      <c r="C18" s="4" t="s">
        <v>88</v>
      </c>
      <c r="D18" t="s">
        <v>89</v>
      </c>
      <c r="E18" s="20" t="s">
        <v>199</v>
      </c>
      <c r="F18" s="5" t="s">
        <v>90</v>
      </c>
      <c r="G18" s="5" t="s">
        <v>91</v>
      </c>
      <c r="H18" s="6" t="s">
        <v>14</v>
      </c>
      <c r="I18" s="7">
        <v>5.94</v>
      </c>
      <c r="J18" s="2">
        <v>1</v>
      </c>
      <c r="K18" s="8">
        <f t="shared" si="0"/>
        <v>5.94</v>
      </c>
    </row>
    <row r="19" spans="2:11" x14ac:dyDescent="0.3">
      <c r="B19" t="s">
        <v>92</v>
      </c>
      <c r="C19" s="4" t="s">
        <v>93</v>
      </c>
      <c r="D19" t="s">
        <v>94</v>
      </c>
      <c r="F19" s="4" t="s">
        <v>95</v>
      </c>
      <c r="G19" s="5"/>
      <c r="H19" s="12" t="s">
        <v>96</v>
      </c>
      <c r="I19" s="7">
        <v>8</v>
      </c>
      <c r="J19" s="2">
        <v>1</v>
      </c>
      <c r="K19" s="8">
        <f t="shared" si="0"/>
        <v>8</v>
      </c>
    </row>
    <row r="20" spans="2:11" x14ac:dyDescent="0.3">
      <c r="B20" t="s">
        <v>97</v>
      </c>
      <c r="C20" s="4" t="s">
        <v>98</v>
      </c>
      <c r="D20" t="s">
        <v>99</v>
      </c>
      <c r="E20" s="20" t="s">
        <v>200</v>
      </c>
      <c r="F20" s="5" t="s">
        <v>100</v>
      </c>
      <c r="G20" s="5" t="s">
        <v>101</v>
      </c>
      <c r="H20" s="6" t="s">
        <v>14</v>
      </c>
      <c r="I20" s="7">
        <v>5.07</v>
      </c>
      <c r="J20" s="2">
        <v>1</v>
      </c>
      <c r="K20" s="8">
        <f t="shared" si="0"/>
        <v>5.07</v>
      </c>
    </row>
    <row r="21" spans="2:11" x14ac:dyDescent="0.3">
      <c r="B21" t="s">
        <v>102</v>
      </c>
      <c r="C21" s="4" t="s">
        <v>103</v>
      </c>
      <c r="D21" t="s">
        <v>104</v>
      </c>
      <c r="E21" s="20" t="s">
        <v>201</v>
      </c>
      <c r="F21" s="5" t="s">
        <v>105</v>
      </c>
      <c r="G21" s="5" t="s">
        <v>106</v>
      </c>
      <c r="H21" s="6" t="s">
        <v>14</v>
      </c>
      <c r="I21" s="7">
        <v>0.67</v>
      </c>
      <c r="J21" s="2">
        <v>1</v>
      </c>
      <c r="K21" s="8">
        <f t="shared" si="0"/>
        <v>0.67</v>
      </c>
    </row>
    <row r="22" spans="2:11" x14ac:dyDescent="0.3">
      <c r="B22" s="19" t="s">
        <v>205</v>
      </c>
      <c r="C22" s="4" t="s">
        <v>204</v>
      </c>
      <c r="D22" s="19" t="s">
        <v>206</v>
      </c>
      <c r="E22" s="20" t="s">
        <v>202</v>
      </c>
      <c r="F22" s="20" t="s">
        <v>203</v>
      </c>
      <c r="H22" s="6" t="s">
        <v>14</v>
      </c>
      <c r="I22" s="7">
        <v>1.96</v>
      </c>
      <c r="J22" s="2">
        <v>1</v>
      </c>
      <c r="K22" s="8">
        <f t="shared" ref="K22" si="1">J22*I22</f>
        <v>1.96</v>
      </c>
    </row>
    <row r="24" spans="2:11" x14ac:dyDescent="0.3">
      <c r="J24" s="4" t="s">
        <v>107</v>
      </c>
      <c r="K24" s="13">
        <f>SUM(K4:K21)</f>
        <v>36.550000000000004</v>
      </c>
    </row>
  </sheetData>
  <hyperlinks>
    <hyperlink ref="F4" r:id="rId1" xr:uid="{53132534-13D2-49DD-8A33-C78591ECA109}"/>
    <hyperlink ref="G4" r:id="rId2" xr:uid="{2B843AE8-CCE3-4FA7-B03B-4903228CD231}"/>
    <hyperlink ref="F5" r:id="rId3" xr:uid="{ADE0ACE8-EB75-422E-B717-4DB7FC89050E}"/>
    <hyperlink ref="G5" r:id="rId4" xr:uid="{A3954C26-9ADA-4B58-80A7-C243E3DA2E26}"/>
    <hyperlink ref="F6" r:id="rId5" xr:uid="{77B43A1B-BB58-410E-B10A-6A80348C61E2}"/>
    <hyperlink ref="G6" r:id="rId6" xr:uid="{31F77AB8-319D-4664-9311-B58D8540ABF5}"/>
    <hyperlink ref="F7" r:id="rId7" xr:uid="{0A81A5A9-F299-4044-BC0A-5D0D01D7B700}"/>
    <hyperlink ref="G7" r:id="rId8" xr:uid="{432F5097-3D5A-4701-AFBB-723618CACA33}"/>
    <hyperlink ref="F8" r:id="rId9" xr:uid="{C33275E7-907A-4DDD-92E4-3E482B57CD34}"/>
    <hyperlink ref="G8" r:id="rId10" xr:uid="{733EB9B5-7811-4A14-8120-C0DBE5666E71}"/>
    <hyperlink ref="F9" r:id="rId11" xr:uid="{EB2627D6-B2B5-47F1-99A9-627EE80664C4}"/>
    <hyperlink ref="G9" r:id="rId12" xr:uid="{91CA2943-2CE4-43F4-8735-E3E8F7B9743F}"/>
    <hyperlink ref="F10" r:id="rId13" xr:uid="{644B3800-B1BA-4BB3-B0AE-4C8B08F379FE}"/>
    <hyperlink ref="F11" r:id="rId14" xr:uid="{F49BBBAA-FF2F-4FFB-A379-CA09C1FA8EA0}"/>
    <hyperlink ref="G11" r:id="rId15" xr:uid="{02B016CE-31FA-4445-9827-01AC1DA04C28}"/>
    <hyperlink ref="F12" r:id="rId16" xr:uid="{E8B4B08D-2EDB-46F3-A3EB-2EBD2E496F5D}"/>
    <hyperlink ref="G12" r:id="rId17" xr:uid="{E83DB9BF-9498-44CA-B701-31C78933FF26}"/>
    <hyperlink ref="F13" r:id="rId18" xr:uid="{AA95AA80-CCC8-465D-A6EF-9A224E15A70A}"/>
    <hyperlink ref="G13" r:id="rId19" xr:uid="{3E0AEF2F-A77B-4F26-9A55-D4860224D883}"/>
    <hyperlink ref="F14" r:id="rId20" display="https://www.mouser.fr/ProductDetail/Wurth-Elektronik/7447060?qs=sGAEpiMZZMv126LJFLh8y7bZMRioh4ww7S2La6H8kL0%3D" xr:uid="{3FC050B6-674B-4FD8-8F65-ACA2BA3DD500}"/>
    <hyperlink ref="G14" r:id="rId21" xr:uid="{4E33E382-85A9-487A-A14B-8734DBD73244}"/>
    <hyperlink ref="F15" r:id="rId22" xr:uid="{53F82882-A0E8-40D1-BBFF-4EA6DBE20EC3}"/>
    <hyperlink ref="G15" r:id="rId23" xr:uid="{B1052B83-EAD9-4B5D-AEFA-8D44789227CF}"/>
    <hyperlink ref="F16" r:id="rId24" xr:uid="{A2CAB422-594C-4C33-99D1-99953319FBDC}"/>
    <hyperlink ref="G16" r:id="rId25" xr:uid="{EEE1D3E2-622D-488E-B985-2D20410C6C5A}"/>
    <hyperlink ref="F17" r:id="rId26" xr:uid="{3A5793DE-0BB2-47E9-BA4A-1A4FA1482482}"/>
    <hyperlink ref="G17" r:id="rId27" xr:uid="{A00DD2AD-6785-47CF-8C7F-AE2EFCE2864F}"/>
    <hyperlink ref="F18" r:id="rId28" xr:uid="{B2476BE3-13A9-40F6-80A9-BF0216C64B4F}"/>
    <hyperlink ref="G18" r:id="rId29" xr:uid="{9D923610-A638-4904-A162-F2667BF66E04}"/>
    <hyperlink ref="F20" r:id="rId30" xr:uid="{17BCDB08-3BEF-45F3-838C-73CFF2F70580}"/>
    <hyperlink ref="G20" r:id="rId31" xr:uid="{82E43466-A59D-4397-BE95-3268504BF5FC}"/>
    <hyperlink ref="F21" r:id="rId32" xr:uid="{4D7911BF-3938-44F6-A9A0-F4CC7874BB8A}"/>
    <hyperlink ref="G21" r:id="rId33" xr:uid="{30FF03F3-020C-4BCB-A0BA-880475F3ADF4}"/>
  </hyperlinks>
  <pageMargins left="0.25196850393700787" right="0.25196850393700787" top="0.75196850393700787" bottom="0.75196850393700787" header="0.3" footer="0.3"/>
  <pageSetup paperSize="9" scale="98" orientation="landscape" useFirstPageNumber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A3:M26"/>
  <sheetViews>
    <sheetView zoomScale="115" zoomScaleNormal="115" workbookViewId="0">
      <selection activeCell="D6" sqref="D6"/>
    </sheetView>
  </sheetViews>
  <sheetFormatPr baseColWidth="10" defaultColWidth="8.88671875" defaultRowHeight="14.4" x14ac:dyDescent="0.3"/>
  <cols>
    <col min="1" max="1" width="10" customWidth="1"/>
    <col min="2" max="2" width="9.44140625" bestFit="1" customWidth="1"/>
    <col min="3" max="3" width="24.33203125" bestFit="1" customWidth="1"/>
    <col min="4" max="4" width="24.33203125" customWidth="1"/>
    <col min="5" max="5" width="20" bestFit="1" customWidth="1"/>
    <col min="6" max="6" width="59.44140625" bestFit="1" customWidth="1"/>
    <col min="7" max="7" width="9.77734375" bestFit="1" customWidth="1"/>
    <col min="8" max="8" width="9.33203125" customWidth="1"/>
    <col min="9" max="9" width="6.88671875" bestFit="1"/>
    <col min="10" max="10" width="10.5546875" customWidth="1"/>
    <col min="12" max="12" width="11.6640625" bestFit="1"/>
    <col min="13" max="13" width="10.6640625" bestFit="1"/>
  </cols>
  <sheetData>
    <row r="3" spans="2:13" x14ac:dyDescent="0.3">
      <c r="B3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2" t="s">
        <v>5</v>
      </c>
      <c r="H3" s="2" t="s">
        <v>6</v>
      </c>
      <c r="I3" s="2" t="s">
        <v>7</v>
      </c>
      <c r="J3" s="3" t="s">
        <v>8</v>
      </c>
    </row>
    <row r="4" spans="2:13" x14ac:dyDescent="0.3">
      <c r="B4" t="s">
        <v>9</v>
      </c>
      <c r="C4" s="4" t="s">
        <v>10</v>
      </c>
      <c r="D4" t="s">
        <v>11</v>
      </c>
      <c r="E4" s="5" t="s">
        <v>12</v>
      </c>
      <c r="F4" s="5" t="s">
        <v>13</v>
      </c>
      <c r="G4" s="6" t="s">
        <v>14</v>
      </c>
      <c r="H4" s="7">
        <v>0.56999999999999995</v>
      </c>
      <c r="I4" s="2">
        <v>1</v>
      </c>
      <c r="J4" s="8">
        <f t="shared" ref="J4:J24" si="0">I4*H4</f>
        <v>0.56999999999999995</v>
      </c>
    </row>
    <row r="5" spans="2:13" x14ac:dyDescent="0.3">
      <c r="B5" t="s">
        <v>15</v>
      </c>
      <c r="C5" s="4" t="s">
        <v>16</v>
      </c>
      <c r="D5" t="s">
        <v>17</v>
      </c>
      <c r="E5" s="5" t="s">
        <v>18</v>
      </c>
      <c r="F5" s="5" t="s">
        <v>19</v>
      </c>
      <c r="G5" s="6" t="s">
        <v>14</v>
      </c>
      <c r="H5" s="7">
        <v>0.18</v>
      </c>
      <c r="I5" s="2">
        <v>1</v>
      </c>
      <c r="J5" s="8">
        <f t="shared" si="0"/>
        <v>0.18</v>
      </c>
      <c r="M5" s="9"/>
    </row>
    <row r="6" spans="2:13" x14ac:dyDescent="0.3">
      <c r="B6" t="s">
        <v>20</v>
      </c>
      <c r="C6" s="4" t="s">
        <v>16</v>
      </c>
      <c r="D6" t="s">
        <v>21</v>
      </c>
      <c r="E6" s="5" t="s">
        <v>22</v>
      </c>
      <c r="F6" s="5" t="s">
        <v>23</v>
      </c>
      <c r="G6" s="6" t="s">
        <v>14</v>
      </c>
      <c r="H6" s="7">
        <v>0.21</v>
      </c>
      <c r="I6" s="2">
        <v>1</v>
      </c>
      <c r="J6" s="8">
        <f t="shared" si="0"/>
        <v>0.21</v>
      </c>
      <c r="L6" s="9"/>
    </row>
    <row r="7" spans="2:13" x14ac:dyDescent="0.3">
      <c r="B7" t="s">
        <v>24</v>
      </c>
      <c r="C7" s="4" t="s">
        <v>16</v>
      </c>
      <c r="D7" t="s">
        <v>25</v>
      </c>
      <c r="E7" s="5" t="s">
        <v>26</v>
      </c>
      <c r="F7" s="5" t="s">
        <v>27</v>
      </c>
      <c r="G7" s="6" t="s">
        <v>14</v>
      </c>
      <c r="H7" s="7">
        <v>1.31</v>
      </c>
      <c r="I7" s="2">
        <v>1</v>
      </c>
      <c r="J7" s="8">
        <f t="shared" si="0"/>
        <v>1.31</v>
      </c>
      <c r="L7" s="9"/>
    </row>
    <row r="8" spans="2:13" x14ac:dyDescent="0.3">
      <c r="B8" t="s">
        <v>28</v>
      </c>
      <c r="C8" s="4" t="s">
        <v>29</v>
      </c>
      <c r="D8" t="s">
        <v>30</v>
      </c>
      <c r="E8" s="5" t="s">
        <v>31</v>
      </c>
      <c r="F8" s="5" t="s">
        <v>32</v>
      </c>
      <c r="G8" s="6" t="s">
        <v>14</v>
      </c>
      <c r="H8" s="7">
        <v>0.28999999999999998</v>
      </c>
      <c r="I8" s="2">
        <v>1</v>
      </c>
      <c r="J8" s="8">
        <f t="shared" si="0"/>
        <v>0.28999999999999998</v>
      </c>
    </row>
    <row r="9" spans="2:13" x14ac:dyDescent="0.3">
      <c r="B9" t="s">
        <v>33</v>
      </c>
      <c r="C9" s="4" t="s">
        <v>34</v>
      </c>
      <c r="D9" t="s">
        <v>35</v>
      </c>
      <c r="E9" s="10" t="s">
        <v>36</v>
      </c>
      <c r="F9" s="11" t="s">
        <v>37</v>
      </c>
      <c r="G9" s="6" t="s">
        <v>14</v>
      </c>
      <c r="H9" s="7">
        <v>0.11</v>
      </c>
      <c r="I9" s="2">
        <v>1</v>
      </c>
      <c r="J9" s="8">
        <f t="shared" si="0"/>
        <v>0.11</v>
      </c>
    </row>
    <row r="10" spans="2:13" x14ac:dyDescent="0.3">
      <c r="B10" t="s">
        <v>38</v>
      </c>
      <c r="C10" s="4" t="s">
        <v>39</v>
      </c>
      <c r="D10" t="s">
        <v>40</v>
      </c>
      <c r="E10" s="5" t="s">
        <v>41</v>
      </c>
      <c r="F10" s="5"/>
      <c r="G10" s="6" t="s">
        <v>14</v>
      </c>
      <c r="H10" s="7">
        <v>5.36</v>
      </c>
      <c r="I10" s="2">
        <v>1</v>
      </c>
      <c r="J10" s="8">
        <f t="shared" si="0"/>
        <v>5.36</v>
      </c>
    </row>
    <row r="11" spans="2:13" x14ac:dyDescent="0.3">
      <c r="B11" t="s">
        <v>42</v>
      </c>
      <c r="C11" s="4" t="s">
        <v>43</v>
      </c>
      <c r="D11" t="s">
        <v>44</v>
      </c>
      <c r="E11" s="5" t="s">
        <v>45</v>
      </c>
      <c r="F11" s="5" t="s">
        <v>46</v>
      </c>
      <c r="G11" s="6" t="s">
        <v>14</v>
      </c>
      <c r="H11" s="7">
        <v>0.11</v>
      </c>
      <c r="I11" s="2">
        <v>2</v>
      </c>
      <c r="J11" s="8">
        <f t="shared" si="0"/>
        <v>0.22</v>
      </c>
    </row>
    <row r="12" spans="2:13" x14ac:dyDescent="0.3">
      <c r="B12" t="s">
        <v>47</v>
      </c>
      <c r="C12" s="4" t="s">
        <v>48</v>
      </c>
      <c r="D12" t="s">
        <v>49</v>
      </c>
      <c r="E12" s="5" t="s">
        <v>50</v>
      </c>
      <c r="F12" s="5" t="s">
        <v>51</v>
      </c>
      <c r="G12" s="6" t="s">
        <v>14</v>
      </c>
      <c r="H12" s="7">
        <v>0.32</v>
      </c>
      <c r="I12" s="2">
        <v>1</v>
      </c>
      <c r="J12" s="8">
        <f t="shared" si="0"/>
        <v>0.32</v>
      </c>
    </row>
    <row r="13" spans="2:13" x14ac:dyDescent="0.3">
      <c r="B13" t="s">
        <v>52</v>
      </c>
      <c r="C13" s="4" t="s">
        <v>53</v>
      </c>
      <c r="D13" t="s">
        <v>54</v>
      </c>
      <c r="E13" s="5" t="s">
        <v>54</v>
      </c>
      <c r="F13" s="5" t="s">
        <v>55</v>
      </c>
      <c r="G13" s="6" t="s">
        <v>14</v>
      </c>
      <c r="H13" s="7">
        <v>0.71</v>
      </c>
      <c r="I13" s="2">
        <v>2</v>
      </c>
      <c r="J13" s="8">
        <f t="shared" si="0"/>
        <v>1.42</v>
      </c>
    </row>
    <row r="14" spans="2:13" x14ac:dyDescent="0.3">
      <c r="B14" t="s">
        <v>56</v>
      </c>
      <c r="C14" t="s">
        <v>57</v>
      </c>
      <c r="D14" t="s">
        <v>58</v>
      </c>
      <c r="E14" s="10">
        <v>7447060</v>
      </c>
      <c r="F14" s="11" t="s">
        <v>59</v>
      </c>
      <c r="G14" s="6" t="s">
        <v>14</v>
      </c>
      <c r="H14" s="7">
        <v>2.06</v>
      </c>
      <c r="I14" s="2">
        <v>1</v>
      </c>
      <c r="J14" s="8">
        <f t="shared" si="0"/>
        <v>2.06</v>
      </c>
    </row>
    <row r="15" spans="2:13" x14ac:dyDescent="0.3">
      <c r="B15" t="s">
        <v>60</v>
      </c>
      <c r="C15" s="4" t="s">
        <v>61</v>
      </c>
      <c r="D15" t="s">
        <v>62</v>
      </c>
      <c r="E15" s="5" t="s">
        <v>63</v>
      </c>
      <c r="F15" s="5" t="s">
        <v>64</v>
      </c>
      <c r="G15" s="6" t="s">
        <v>14</v>
      </c>
      <c r="H15" s="7">
        <v>1.49</v>
      </c>
      <c r="I15" s="2">
        <v>1</v>
      </c>
      <c r="J15" s="8">
        <f t="shared" si="0"/>
        <v>1.49</v>
      </c>
    </row>
    <row r="16" spans="2:13" x14ac:dyDescent="0.3">
      <c r="B16" t="s">
        <v>65</v>
      </c>
      <c r="C16" s="4" t="s">
        <v>66</v>
      </c>
      <c r="D16" t="s">
        <v>67</v>
      </c>
      <c r="E16" s="5" t="s">
        <v>68</v>
      </c>
      <c r="F16" s="5" t="s">
        <v>69</v>
      </c>
      <c r="G16" s="6" t="s">
        <v>14</v>
      </c>
      <c r="H16" s="7">
        <v>2.92</v>
      </c>
      <c r="I16" s="2">
        <v>1</v>
      </c>
      <c r="J16" s="8">
        <f t="shared" si="0"/>
        <v>2.92</v>
      </c>
    </row>
    <row r="17" spans="1:10" x14ac:dyDescent="0.3">
      <c r="A17" s="17" t="s">
        <v>183</v>
      </c>
      <c r="B17" t="s">
        <v>70</v>
      </c>
      <c r="C17" s="4" t="s">
        <v>71</v>
      </c>
      <c r="D17" t="s">
        <v>72</v>
      </c>
      <c r="E17" s="5" t="s">
        <v>73</v>
      </c>
      <c r="F17" s="5" t="s">
        <v>74</v>
      </c>
      <c r="G17" s="6" t="s">
        <v>14</v>
      </c>
      <c r="H17" s="7">
        <v>0.08</v>
      </c>
      <c r="I17" s="2">
        <v>2</v>
      </c>
      <c r="J17" s="8">
        <f t="shared" si="0"/>
        <v>0.16</v>
      </c>
    </row>
    <row r="18" spans="1:10" x14ac:dyDescent="0.3">
      <c r="A18" s="18"/>
      <c r="B18" t="s">
        <v>75</v>
      </c>
      <c r="C18" s="4" t="s">
        <v>71</v>
      </c>
      <c r="D18" t="s">
        <v>76</v>
      </c>
      <c r="E18" s="5" t="s">
        <v>77</v>
      </c>
      <c r="F18" s="5" t="s">
        <v>78</v>
      </c>
      <c r="G18" s="6" t="s">
        <v>14</v>
      </c>
      <c r="H18" s="7">
        <v>0.08</v>
      </c>
      <c r="I18" s="2">
        <v>1</v>
      </c>
      <c r="J18" s="8">
        <f t="shared" si="0"/>
        <v>0.08</v>
      </c>
    </row>
    <row r="19" spans="1:10" x14ac:dyDescent="0.3">
      <c r="A19" s="18"/>
      <c r="B19" t="s">
        <v>79</v>
      </c>
      <c r="C19" s="4" t="s">
        <v>71</v>
      </c>
      <c r="D19" t="s">
        <v>80</v>
      </c>
      <c r="E19" s="5" t="s">
        <v>81</v>
      </c>
      <c r="F19" s="5" t="s">
        <v>78</v>
      </c>
      <c r="G19" s="6" t="s">
        <v>14</v>
      </c>
      <c r="H19" s="7">
        <v>0.08</v>
      </c>
      <c r="I19" s="2">
        <v>2</v>
      </c>
      <c r="J19" s="8">
        <f t="shared" si="0"/>
        <v>0.16</v>
      </c>
    </row>
    <row r="20" spans="1:10" x14ac:dyDescent="0.3">
      <c r="B20" t="s">
        <v>82</v>
      </c>
      <c r="C20" s="4" t="s">
        <v>83</v>
      </c>
      <c r="D20" t="s">
        <v>84</v>
      </c>
      <c r="E20" s="5" t="s">
        <v>85</v>
      </c>
      <c r="F20" s="5" t="s">
        <v>86</v>
      </c>
      <c r="G20" s="6" t="s">
        <v>14</v>
      </c>
      <c r="H20" s="7">
        <v>0.41</v>
      </c>
      <c r="I20" s="2">
        <v>1</v>
      </c>
      <c r="J20" s="8">
        <f t="shared" si="0"/>
        <v>0.41</v>
      </c>
    </row>
    <row r="21" spans="1:10" x14ac:dyDescent="0.3">
      <c r="B21" t="s">
        <v>87</v>
      </c>
      <c r="C21" s="4" t="s">
        <v>88</v>
      </c>
      <c r="D21" t="s">
        <v>89</v>
      </c>
      <c r="E21" s="5" t="s">
        <v>90</v>
      </c>
      <c r="F21" s="5" t="s">
        <v>91</v>
      </c>
      <c r="G21" s="6" t="s">
        <v>14</v>
      </c>
      <c r="H21" s="7">
        <v>5.94</v>
      </c>
      <c r="I21" s="2">
        <v>1</v>
      </c>
      <c r="J21" s="8">
        <f t="shared" si="0"/>
        <v>5.94</v>
      </c>
    </row>
    <row r="22" spans="1:10" x14ac:dyDescent="0.3">
      <c r="B22" t="s">
        <v>92</v>
      </c>
      <c r="C22" s="4" t="s">
        <v>93</v>
      </c>
      <c r="D22" t="s">
        <v>94</v>
      </c>
      <c r="E22" s="4" t="s">
        <v>95</v>
      </c>
      <c r="F22" s="5"/>
      <c r="G22" s="12" t="s">
        <v>96</v>
      </c>
      <c r="H22" s="7">
        <v>8</v>
      </c>
      <c r="I22" s="2">
        <v>1</v>
      </c>
      <c r="J22" s="8">
        <f t="shared" si="0"/>
        <v>8</v>
      </c>
    </row>
    <row r="23" spans="1:10" x14ac:dyDescent="0.3">
      <c r="B23" t="s">
        <v>97</v>
      </c>
      <c r="C23" s="4" t="s">
        <v>98</v>
      </c>
      <c r="D23" t="s">
        <v>99</v>
      </c>
      <c r="E23" s="5" t="s">
        <v>100</v>
      </c>
      <c r="F23" s="5" t="s">
        <v>101</v>
      </c>
      <c r="G23" s="6" t="s">
        <v>14</v>
      </c>
      <c r="H23" s="7">
        <v>5.07</v>
      </c>
      <c r="I23" s="2">
        <v>1</v>
      </c>
      <c r="J23" s="8">
        <f t="shared" si="0"/>
        <v>5.07</v>
      </c>
    </row>
    <row r="24" spans="1:10" x14ac:dyDescent="0.3">
      <c r="B24" t="s">
        <v>102</v>
      </c>
      <c r="C24" s="4" t="s">
        <v>103</v>
      </c>
      <c r="D24" t="s">
        <v>104</v>
      </c>
      <c r="E24" s="5" t="s">
        <v>105</v>
      </c>
      <c r="F24" s="5" t="s">
        <v>106</v>
      </c>
      <c r="G24" s="6" t="s">
        <v>14</v>
      </c>
      <c r="H24" s="7">
        <v>0.67</v>
      </c>
      <c r="I24" s="2">
        <v>1</v>
      </c>
      <c r="J24" s="8">
        <f t="shared" si="0"/>
        <v>0.67</v>
      </c>
    </row>
    <row r="26" spans="1:10" x14ac:dyDescent="0.3">
      <c r="I26" s="4" t="s">
        <v>107</v>
      </c>
      <c r="J26" s="13">
        <f>SUM(J4:J24)</f>
        <v>36.950000000000003</v>
      </c>
    </row>
  </sheetData>
  <mergeCells count="1">
    <mergeCell ref="A17:A19"/>
  </mergeCells>
  <hyperlinks>
    <hyperlink ref="E4" r:id="rId1" xr:uid="{00000000-0004-0000-0000-000000000000}"/>
    <hyperlink ref="F4" r:id="rId2" xr:uid="{00000000-0004-0000-0000-000001000000}"/>
    <hyperlink ref="E5" r:id="rId3" xr:uid="{00000000-0004-0000-0000-000002000000}"/>
    <hyperlink ref="F5" r:id="rId4" xr:uid="{00000000-0004-0000-0000-000003000000}"/>
    <hyperlink ref="E6" r:id="rId5" xr:uid="{00000000-0004-0000-0000-000004000000}"/>
    <hyperlink ref="F6" r:id="rId6" xr:uid="{00000000-0004-0000-0000-000005000000}"/>
    <hyperlink ref="E7" r:id="rId7" xr:uid="{00000000-0004-0000-0000-000006000000}"/>
    <hyperlink ref="F7" r:id="rId8" xr:uid="{00000000-0004-0000-0000-000007000000}"/>
    <hyperlink ref="E8" r:id="rId9" xr:uid="{00000000-0004-0000-0000-000008000000}"/>
    <hyperlink ref="F8" r:id="rId10" xr:uid="{00000000-0004-0000-0000-000009000000}"/>
    <hyperlink ref="E9" r:id="rId11" xr:uid="{00000000-0004-0000-0000-00000A000000}"/>
    <hyperlink ref="F9" r:id="rId12" xr:uid="{00000000-0004-0000-0000-00000B000000}"/>
    <hyperlink ref="E10" r:id="rId13" xr:uid="{00000000-0004-0000-0000-00000C000000}"/>
    <hyperlink ref="E11" r:id="rId14" xr:uid="{00000000-0004-0000-0000-00000D000000}"/>
    <hyperlink ref="F11" r:id="rId15" xr:uid="{00000000-0004-0000-0000-00000E000000}"/>
    <hyperlink ref="E12" r:id="rId16" xr:uid="{00000000-0004-0000-0000-00000F000000}"/>
    <hyperlink ref="F12" r:id="rId17" xr:uid="{00000000-0004-0000-0000-000010000000}"/>
    <hyperlink ref="E13" r:id="rId18" xr:uid="{00000000-0004-0000-0000-000011000000}"/>
    <hyperlink ref="F13" r:id="rId19" xr:uid="{00000000-0004-0000-0000-000012000000}"/>
    <hyperlink ref="E14" r:id="rId20" display="https://www.mouser.fr/ProductDetail/Wurth-Elektronik/7447060?qs=sGAEpiMZZMv126LJFLh8y7bZMRioh4ww7S2La6H8kL0%3D" xr:uid="{00000000-0004-0000-0000-000013000000}"/>
    <hyperlink ref="F14" r:id="rId21" xr:uid="{00000000-0004-0000-0000-000014000000}"/>
    <hyperlink ref="E15" r:id="rId22" xr:uid="{00000000-0004-0000-0000-000015000000}"/>
    <hyperlink ref="F15" r:id="rId23" xr:uid="{00000000-0004-0000-0000-000016000000}"/>
    <hyperlink ref="E16" r:id="rId24" xr:uid="{00000000-0004-0000-0000-000017000000}"/>
    <hyperlink ref="F16" r:id="rId25" xr:uid="{00000000-0004-0000-0000-000018000000}"/>
    <hyperlink ref="E17" r:id="rId26" xr:uid="{00000000-0004-0000-0000-000019000000}"/>
    <hyperlink ref="F17" r:id="rId27" xr:uid="{00000000-0004-0000-0000-00001A000000}"/>
    <hyperlink ref="E18" r:id="rId28" xr:uid="{00000000-0004-0000-0000-00001B000000}"/>
    <hyperlink ref="F18" r:id="rId29" xr:uid="{00000000-0004-0000-0000-00001C000000}"/>
    <hyperlink ref="E19" r:id="rId30" xr:uid="{00000000-0004-0000-0000-00001D000000}"/>
    <hyperlink ref="F19" r:id="rId31" xr:uid="{00000000-0004-0000-0000-00001E000000}"/>
    <hyperlink ref="E20" r:id="rId32" xr:uid="{00000000-0004-0000-0000-00001F000000}"/>
    <hyperlink ref="F20" r:id="rId33" xr:uid="{00000000-0004-0000-0000-000020000000}"/>
    <hyperlink ref="E21" r:id="rId34" xr:uid="{00000000-0004-0000-0000-000021000000}"/>
    <hyperlink ref="F21" r:id="rId35" xr:uid="{00000000-0004-0000-0000-000022000000}"/>
    <hyperlink ref="E23" r:id="rId36" xr:uid="{00000000-0004-0000-0000-000023000000}"/>
    <hyperlink ref="F23" r:id="rId37" xr:uid="{00000000-0004-0000-0000-000024000000}"/>
    <hyperlink ref="E24" r:id="rId38" xr:uid="{00000000-0004-0000-0000-000025000000}"/>
    <hyperlink ref="F24" r:id="rId39" xr:uid="{00000000-0004-0000-0000-000026000000}"/>
  </hyperlinks>
  <pageMargins left="0.25196850393700787" right="0.25196850393700787" top="0.75196850393700787" bottom="0.75196850393700787" header="0.3" footer="0.3"/>
  <pageSetup paperSize="9" scale="98" orientation="landscape" useFirstPageNumber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"/>
  <sheetViews>
    <sheetView workbookViewId="0"/>
  </sheetViews>
  <sheetFormatPr baseColWidth="10" defaultColWidth="8.88671875" defaultRowHeight="14.4" x14ac:dyDescent="0.3"/>
  <sheetData/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2"/>
  </sheetPr>
  <dimension ref="B8:U24"/>
  <sheetViews>
    <sheetView workbookViewId="0">
      <pane xSplit="2" topLeftCell="C1" activePane="topRight" state="frozen"/>
      <selection pane="topRight"/>
    </sheetView>
  </sheetViews>
  <sheetFormatPr baseColWidth="10" defaultColWidth="8.88671875" defaultRowHeight="14.4" x14ac:dyDescent="0.3"/>
  <cols>
    <col min="2" max="2" width="11.77734375" bestFit="1"/>
    <col min="3" max="3" width="9.21875" bestFit="1"/>
    <col min="4" max="4" width="4.109375" bestFit="1"/>
    <col min="5" max="5" width="7.21875" bestFit="1"/>
    <col min="6" max="6" width="3.109375" bestFit="1"/>
    <col min="8" max="8" width="4.6640625" bestFit="1"/>
    <col min="9" max="9" width="7.21875" bestFit="1"/>
    <col min="10" max="10" width="4.109375" bestFit="1"/>
    <col min="11" max="11" width="5.44140625" bestFit="1"/>
    <col min="12" max="12" width="8" bestFit="1"/>
  </cols>
  <sheetData>
    <row r="8" spans="2:21" x14ac:dyDescent="0.3">
      <c r="C8" s="14" t="s">
        <v>108</v>
      </c>
      <c r="D8" s="14" t="s">
        <v>109</v>
      </c>
      <c r="E8" s="14" t="s">
        <v>110</v>
      </c>
      <c r="F8" s="14" t="s">
        <v>111</v>
      </c>
      <c r="G8" s="16" t="s">
        <v>112</v>
      </c>
      <c r="H8" s="15" t="s">
        <v>113</v>
      </c>
      <c r="U8" t="s">
        <v>114</v>
      </c>
    </row>
    <row r="9" spans="2:21" x14ac:dyDescent="0.3">
      <c r="C9" s="14" t="s">
        <v>115</v>
      </c>
      <c r="D9" s="14" t="s">
        <v>116</v>
      </c>
      <c r="E9" s="14" t="s">
        <v>117</v>
      </c>
      <c r="F9" s="14" t="s">
        <v>28</v>
      </c>
      <c r="G9" s="16"/>
      <c r="H9" s="15" t="s">
        <v>118</v>
      </c>
      <c r="U9" t="s">
        <v>119</v>
      </c>
    </row>
    <row r="10" spans="2:21" x14ac:dyDescent="0.3">
      <c r="C10" s="14" t="s">
        <v>120</v>
      </c>
      <c r="D10" s="14" t="s">
        <v>121</v>
      </c>
      <c r="E10" s="14" t="s">
        <v>122</v>
      </c>
      <c r="F10" s="14" t="s">
        <v>33</v>
      </c>
      <c r="G10" s="16"/>
      <c r="H10" s="15" t="s">
        <v>123</v>
      </c>
      <c r="U10" t="s">
        <v>124</v>
      </c>
    </row>
    <row r="11" spans="2:21" x14ac:dyDescent="0.3">
      <c r="C11" s="14" t="s">
        <v>125</v>
      </c>
      <c r="D11" s="14" t="s">
        <v>126</v>
      </c>
      <c r="E11" s="14" t="s">
        <v>127</v>
      </c>
      <c r="F11" s="14" t="s">
        <v>128</v>
      </c>
      <c r="G11" s="16"/>
      <c r="H11" s="15" t="s">
        <v>129</v>
      </c>
      <c r="I11" t="s">
        <v>130</v>
      </c>
      <c r="J11" s="15" t="s">
        <v>131</v>
      </c>
      <c r="K11" t="s">
        <v>132</v>
      </c>
      <c r="L11" t="s">
        <v>133</v>
      </c>
      <c r="U11" s="11" t="s">
        <v>134</v>
      </c>
    </row>
    <row r="12" spans="2:21" x14ac:dyDescent="0.3">
      <c r="B12" t="s">
        <v>135</v>
      </c>
      <c r="C12" s="14" t="s">
        <v>136</v>
      </c>
      <c r="D12" s="14" t="s">
        <v>137</v>
      </c>
      <c r="E12" s="14" t="s">
        <v>138</v>
      </c>
      <c r="F12" s="14" t="s">
        <v>139</v>
      </c>
      <c r="G12" s="16"/>
      <c r="H12" s="15" t="s">
        <v>140</v>
      </c>
      <c r="I12" t="s">
        <v>141</v>
      </c>
      <c r="J12" t="s">
        <v>142</v>
      </c>
      <c r="K12" t="s">
        <v>143</v>
      </c>
      <c r="L12" t="s">
        <v>144</v>
      </c>
    </row>
    <row r="13" spans="2:21" x14ac:dyDescent="0.3">
      <c r="B13" t="s">
        <v>145</v>
      </c>
      <c r="C13" s="14" t="s">
        <v>146</v>
      </c>
      <c r="D13" s="14" t="s">
        <v>147</v>
      </c>
      <c r="E13" s="14" t="s">
        <v>148</v>
      </c>
      <c r="F13" s="14" t="s">
        <v>149</v>
      </c>
      <c r="G13" s="16"/>
      <c r="H13" s="15" t="s">
        <v>150</v>
      </c>
      <c r="I13" t="s">
        <v>151</v>
      </c>
      <c r="J13" t="s">
        <v>152</v>
      </c>
      <c r="K13" t="s">
        <v>153</v>
      </c>
      <c r="L13" t="s">
        <v>154</v>
      </c>
    </row>
    <row r="14" spans="2:21" x14ac:dyDescent="0.3">
      <c r="C14" s="14"/>
      <c r="D14" s="14" t="s">
        <v>155</v>
      </c>
      <c r="E14" s="14" t="s">
        <v>156</v>
      </c>
      <c r="F14" s="14" t="s">
        <v>157</v>
      </c>
      <c r="G14" s="16"/>
      <c r="H14" s="15" t="s">
        <v>158</v>
      </c>
      <c r="I14" t="s">
        <v>159</v>
      </c>
      <c r="J14" t="s">
        <v>160</v>
      </c>
    </row>
    <row r="17" spans="2:21" x14ac:dyDescent="0.3">
      <c r="O17" s="15"/>
    </row>
    <row r="18" spans="2:21" x14ac:dyDescent="0.3">
      <c r="B18" t="s">
        <v>161</v>
      </c>
      <c r="D18" s="14" t="s">
        <v>109</v>
      </c>
      <c r="E18" t="s">
        <v>162</v>
      </c>
      <c r="F18" s="14" t="s">
        <v>111</v>
      </c>
      <c r="G18" s="16" t="s">
        <v>163</v>
      </c>
      <c r="H18" s="15" t="s">
        <v>113</v>
      </c>
    </row>
    <row r="19" spans="2:21" x14ac:dyDescent="0.3">
      <c r="B19" t="s">
        <v>161</v>
      </c>
      <c r="D19" s="14" t="s">
        <v>116</v>
      </c>
      <c r="E19" t="s">
        <v>110</v>
      </c>
      <c r="F19" s="14" t="s">
        <v>28</v>
      </c>
      <c r="G19" s="16"/>
      <c r="H19" s="15" t="s">
        <v>118</v>
      </c>
      <c r="U19" t="s">
        <v>164</v>
      </c>
    </row>
    <row r="20" spans="2:21" x14ac:dyDescent="0.3">
      <c r="B20" t="s">
        <v>165</v>
      </c>
      <c r="D20" s="14" t="s">
        <v>121</v>
      </c>
      <c r="E20" t="s">
        <v>117</v>
      </c>
      <c r="F20" s="14" t="s">
        <v>33</v>
      </c>
      <c r="G20" s="16"/>
      <c r="H20" s="15" t="s">
        <v>123</v>
      </c>
      <c r="U20" t="s">
        <v>166</v>
      </c>
    </row>
    <row r="21" spans="2:21" x14ac:dyDescent="0.3">
      <c r="B21" t="s">
        <v>167</v>
      </c>
      <c r="E21" t="s">
        <v>168</v>
      </c>
      <c r="F21" s="14" t="s">
        <v>128</v>
      </c>
      <c r="G21" s="16"/>
      <c r="H21" s="15" t="s">
        <v>129</v>
      </c>
      <c r="I21" t="s">
        <v>169</v>
      </c>
      <c r="K21" t="s">
        <v>132</v>
      </c>
      <c r="L21" t="s">
        <v>170</v>
      </c>
      <c r="U21" t="s">
        <v>171</v>
      </c>
    </row>
    <row r="22" spans="2:21" x14ac:dyDescent="0.3">
      <c r="B22" t="s">
        <v>172</v>
      </c>
      <c r="C22" s="14" t="s">
        <v>136</v>
      </c>
      <c r="E22" t="s">
        <v>173</v>
      </c>
      <c r="F22" s="14" t="s">
        <v>139</v>
      </c>
      <c r="G22" s="16"/>
      <c r="H22" s="15" t="s">
        <v>140</v>
      </c>
      <c r="I22" t="s">
        <v>174</v>
      </c>
      <c r="K22" t="s">
        <v>143</v>
      </c>
      <c r="L22" t="s">
        <v>175</v>
      </c>
      <c r="U22" s="11" t="s">
        <v>176</v>
      </c>
    </row>
    <row r="23" spans="2:21" x14ac:dyDescent="0.3">
      <c r="B23" t="s">
        <v>177</v>
      </c>
      <c r="C23" s="14" t="s">
        <v>146</v>
      </c>
      <c r="E23" t="s">
        <v>178</v>
      </c>
      <c r="F23" s="14" t="s">
        <v>149</v>
      </c>
      <c r="G23" s="16"/>
      <c r="H23" s="15" t="s">
        <v>150</v>
      </c>
      <c r="I23" t="s">
        <v>179</v>
      </c>
      <c r="K23" t="s">
        <v>153</v>
      </c>
      <c r="L23" t="s">
        <v>180</v>
      </c>
    </row>
    <row r="24" spans="2:21" x14ac:dyDescent="0.3">
      <c r="D24" t="s">
        <v>155</v>
      </c>
      <c r="E24" t="s">
        <v>181</v>
      </c>
      <c r="F24" s="14" t="s">
        <v>157</v>
      </c>
      <c r="G24" s="16"/>
      <c r="H24" s="15" t="s">
        <v>158</v>
      </c>
      <c r="I24" t="s">
        <v>182</v>
      </c>
      <c r="J24" t="s">
        <v>160</v>
      </c>
    </row>
  </sheetData>
  <mergeCells count="2">
    <mergeCell ref="G8:G14"/>
    <mergeCell ref="G18:G24"/>
  </mergeCells>
  <hyperlinks>
    <hyperlink ref="U11" r:id="rId1" xr:uid="{00000000-0004-0000-0200-000000000000}"/>
    <hyperlink ref="U22" r:id="rId2" xr:uid="{00000000-0004-0000-0200-000001000000}"/>
  </hyperlinks>
  <pageMargins left="0.70078740157480324" right="0.70078740157480324" top="0.75196850393700787" bottom="0.75196850393700787" header="0.3" footer="0.3"/>
  <pageSetup paperSize="9" orientation="portrait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Liste de matériels (prototy (2)</vt:lpstr>
      <vt:lpstr>Liste de matériels (prototype)</vt:lpstr>
      <vt:lpstr>Commandes</vt:lpstr>
      <vt:lpstr>XIAO ESP32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Hofer Lukas</cp:lastModifiedBy>
  <cp:revision>12</cp:revision>
  <dcterms:modified xsi:type="dcterms:W3CDTF">2026-05-17T17:02:07Z</dcterms:modified>
</cp:coreProperties>
</file>