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Liste de matériels (prototype)" sheetId="1" state="visible" r:id="rId1"/>
    <sheet name="Commandes" sheetId="2" state="visible" r:id="rId2"/>
    <sheet name="BOM" sheetId="3" state="visible" r:id="rId3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<sst xmlns="http://schemas.openxmlformats.org/spreadsheetml/2006/main" count="24" uniqueCount="24">
  <si>
    <t>Nom</t>
  </si>
  <si>
    <t>Ref</t>
  </si>
  <si>
    <t>Fournisseur</t>
  </si>
  <si>
    <t>prix</t>
  </si>
  <si>
    <t>nombre</t>
  </si>
  <si>
    <t>tot</t>
  </si>
  <si>
    <t>ESP32</t>
  </si>
  <si>
    <t>XIAO-ESP32-S3</t>
  </si>
  <si>
    <t>Mouser</t>
  </si>
  <si>
    <t xml:space="preserve">Module RFID</t>
  </si>
  <si>
    <t xml:space="preserve">Module SBC-RFID-RC522</t>
  </si>
  <si>
    <t>Inconnu</t>
  </si>
  <si>
    <t>Alimentation</t>
  </si>
  <si>
    <t>TR10S05</t>
  </si>
  <si>
    <t xml:space="preserve">LED RGB</t>
  </si>
  <si>
    <t xml:space="preserve">APA102 - 150505M173300</t>
  </si>
  <si>
    <t xml:space="preserve">Level Shifter</t>
  </si>
  <si>
    <t>SN74LVC1G17DBVR</t>
  </si>
  <si>
    <t>Bornier</t>
  </si>
  <si>
    <t>TB0011-350-04GR</t>
  </si>
  <si>
    <t xml:space="preserve">transceiver UART &lt;-&gt; RS485</t>
  </si>
  <si>
    <t>MAX3485CSA+T</t>
  </si>
  <si>
    <t xml:space="preserve">Switch horizontal</t>
  </si>
  <si>
    <t>SLW-874744-6A-RA-N-D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</si>
</sst>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-* #,##0.00\ [$CHF-100C]_-;\-* #,##0.00\ [$CHF-100C]_-;_-* &quot;-&quot;??\ [$CHF-100C]_-;_-@_-"/>
  </numFmts>
  <fonts count="4">
    <font>
      <sz val="11.000000"/>
      <color theme="1"/>
      <name val="Calibri"/>
      <scheme val="minor"/>
    </font>
    <font>
      <u/>
      <sz val="11.000000"/>
      <color theme="10"/>
      <name val="Calibri"/>
    </font>
    <font>
      <sz val="11.000000"/>
      <name val="Calibri"/>
    </font>
    <font>
      <sz val="11.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0" fillId="2" borderId="0" numFmtId="44" applyNumberFormat="1" applyFont="0" applyFill="0" applyBorder="0"/>
  </cellStyleXfs>
  <cellXfs count="11">
    <xf fontId="0" fillId="0" borderId="0" numFmtId="0" xfId="0"/>
    <xf fontId="0" fillId="0" borderId="0" numFmtId="0" xfId="0" applyAlignment="1">
      <alignment horizontal="left"/>
    </xf>
    <xf fontId="0" fillId="0" borderId="0" numFmtId="0" xfId="0" applyAlignment="1">
      <alignment horizontal="center"/>
    </xf>
    <xf fontId="0" fillId="0" borderId="0" numFmtId="0" xfId="0" applyAlignment="1">
      <alignment horizontal="center"/>
    </xf>
    <xf fontId="0" fillId="0" borderId="0" numFmtId="0" xfId="0" applyAlignment="1">
      <alignment horizontal="right"/>
    </xf>
    <xf fontId="1" fillId="0" borderId="0" numFmtId="0" xfId="0" applyFont="1"/>
    <xf fontId="2" fillId="0" borderId="0" numFmtId="0" xfId="0" applyFont="1" applyAlignment="1">
      <alignment horizontal="center"/>
    </xf>
    <xf fontId="0" fillId="0" borderId="0" numFmtId="164" xfId="1" applyNumberFormat="1"/>
    <xf fontId="0" fillId="0" borderId="0" numFmtId="164" xfId="1" applyNumberFormat="1" applyAlignment="1">
      <alignment horizontal="right"/>
    </xf>
    <xf fontId="3" fillId="0" borderId="0" numFmtId="0" xfId="0" applyFont="1" applyAlignment="1">
      <alignment horizontal="center"/>
    </xf>
    <xf fontId="0" fillId="0" borderId="0" numFmtId="164" xfId="0" applyNumberFormat="1"/>
  </cellXfs>
  <cellStyles count="2">
    <cellStyle name="Normal" xfId="0" builtinId="0"/>
    <cellStyle name="Currency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mouser.ch/ProductDetail/Seeed-Studio/113991114?qs=3Rah4i%252BhyCEHk7Z4Wa73Xg%3D%3D&amp;mgh=1&amp;gad_campaignid=20000144849" TargetMode="External"/><Relationship  Id="rId2" Type="http://schemas.openxmlformats.org/officeDocument/2006/relationships/hyperlink" Target="https://www.mouser.ch/ProductDetail/XP-Power/TR10S05?qs=w%2Fv1CP2dgqq%252Bf%2F3HngCGzQ%3D%3D" TargetMode="External"/><Relationship  Id="rId3" Type="http://schemas.openxmlformats.org/officeDocument/2006/relationships/hyperlink" Target="https://www.mouser.ch/ProductDetail/Wurth-Elektronik/150505M173300?qs=fAHHVMwC%252Bbi%2FURn4Qu0%2FAA%3D%3D&amp;mgh=1&amp;gad_campaignid=20002741852" TargetMode="External"/><Relationship  Id="rId4" Type="http://schemas.openxmlformats.org/officeDocument/2006/relationships/hyperlink" Target="https://www.mouser.ch/ProductDetail/Texas-Instruments/SN74LVC1G17DBVR?qs=sGAEpiMZZMutXGli8Ay4kBELecaPbA6Bs5CqFs0r%252BsQ%3D" TargetMode="External"/><Relationship  Id="rId5" Type="http://schemas.openxmlformats.org/officeDocument/2006/relationships/hyperlink" Target="https://eu.mouser.com/ProductDetail/Same-Sky/TB0011-350-04GR?qs=PBDs2xEllI8Qb4YnuFeAHQ%3D%3D" TargetMode="External"/><Relationship  Id="rId6" Type="http://schemas.openxmlformats.org/officeDocument/2006/relationships/hyperlink" Target="https://www.mouser.ch/ProductDetail/Analog-Devices-Maxim-Integrated/MAX3485CSA%2bT?qs=LHmEVA8xxfaEoE%252B%2FCK4kMg%3D%3D" TargetMode="External"/><Relationship  Id="rId7" Type="http://schemas.openxmlformats.org/officeDocument/2006/relationships/hyperlink" Target="https://www.mouser.ch/ProductDetail/Same-Sky/SLW-874744-6A-RA-N-D?qs=IKkN%2F947nfCTUBrapEhl3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 tint="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4.25"/>
  <cols>
    <col bestFit="1" customWidth="1" min="2" max="2" width="24.390625"/>
    <col customWidth="1" min="3" max="3" width="25.57421875"/>
    <col bestFit="1" customWidth="1" min="4" max="4" width="10.86328125"/>
    <col bestFit="1" min="5" max="6" width="9.58203125"/>
    <col bestFit="1" min="7" max="7" width="10.6328125"/>
    <col bestFit="1" min="9" max="9" width="11.69140625"/>
    <col bestFit="1" min="10" max="10" width="10.6328125"/>
  </cols>
  <sheetData>
    <row r="3" ht="14.25">
      <c r="B3" s="1" t="s">
        <v>0</v>
      </c>
      <c r="C3" s="1" t="s">
        <v>1</v>
      </c>
      <c r="D3" s="2" t="s">
        <v>2</v>
      </c>
      <c r="E3" s="3" t="s">
        <v>3</v>
      </c>
      <c r="F3" s="3" t="s">
        <v>4</v>
      </c>
      <c r="G3" s="4" t="s">
        <v>5</v>
      </c>
    </row>
    <row r="4" ht="14.25">
      <c r="B4" t="s">
        <v>6</v>
      </c>
      <c r="C4" s="5" t="s">
        <v>7</v>
      </c>
      <c r="D4" s="6" t="s">
        <v>8</v>
      </c>
      <c r="E4" s="7">
        <v>5.9400000000000004</v>
      </c>
      <c r="F4" s="3">
        <v>1</v>
      </c>
      <c r="G4" s="8">
        <f>F4*E4</f>
        <v>5.9400000000000004</v>
      </c>
    </row>
    <row r="5" ht="14.25">
      <c r="B5" t="s">
        <v>9</v>
      </c>
      <c r="C5" t="s">
        <v>10</v>
      </c>
      <c r="D5" s="9" t="s">
        <v>11</v>
      </c>
      <c r="E5" s="7">
        <v>8</v>
      </c>
      <c r="F5" s="3">
        <v>1</v>
      </c>
      <c r="G5" s="8">
        <f>F5*E5</f>
        <v>8</v>
      </c>
      <c r="J5" s="10"/>
    </row>
    <row r="6" ht="14.25">
      <c r="B6" t="s">
        <v>12</v>
      </c>
      <c r="C6" s="5" t="s">
        <v>13</v>
      </c>
      <c r="D6" s="6" t="s">
        <v>8</v>
      </c>
      <c r="E6" s="7">
        <v>3.29</v>
      </c>
      <c r="F6" s="3">
        <v>1</v>
      </c>
      <c r="G6" s="8">
        <f>F6*E6</f>
        <v>3.29</v>
      </c>
      <c r="I6" s="10"/>
    </row>
    <row r="7" ht="14.25">
      <c r="B7" t="s">
        <v>14</v>
      </c>
      <c r="C7" s="5" t="s">
        <v>15</v>
      </c>
      <c r="D7" s="6" t="s">
        <v>8</v>
      </c>
      <c r="E7" s="7">
        <v>0.5</v>
      </c>
      <c r="F7" s="3">
        <v>1</v>
      </c>
      <c r="G7" s="8">
        <f>F7*E7</f>
        <v>0.5</v>
      </c>
      <c r="I7" s="10"/>
    </row>
    <row r="8" ht="14.25">
      <c r="B8" t="s">
        <v>16</v>
      </c>
      <c r="C8" s="5" t="s">
        <v>17</v>
      </c>
      <c r="D8" s="6" t="s">
        <v>8</v>
      </c>
      <c r="E8" s="7">
        <v>0.20000000000000001</v>
      </c>
      <c r="F8" s="3">
        <v>2</v>
      </c>
      <c r="G8" s="8">
        <f>F8*E8</f>
        <v>0.40000000000000002</v>
      </c>
    </row>
    <row r="9" ht="14.25">
      <c r="B9" t="s">
        <v>18</v>
      </c>
      <c r="C9" s="5" t="s">
        <v>19</v>
      </c>
      <c r="D9" s="6" t="s">
        <v>8</v>
      </c>
      <c r="E9" s="7">
        <v>0.70999999999999996</v>
      </c>
      <c r="F9" s="3">
        <v>2</v>
      </c>
      <c r="G9" s="8">
        <f>F9*E9</f>
        <v>1.4199999999999999</v>
      </c>
    </row>
    <row r="10" ht="14.25">
      <c r="B10" t="s">
        <v>20</v>
      </c>
      <c r="C10" s="5" t="s">
        <v>21</v>
      </c>
      <c r="D10" s="6" t="s">
        <v>8</v>
      </c>
      <c r="E10" s="7">
        <v>5.0700000000000003</v>
      </c>
      <c r="F10" s="3">
        <v>1</v>
      </c>
      <c r="G10" s="8">
        <f>F10*E10</f>
        <v>5.0700000000000003</v>
      </c>
    </row>
    <row r="11" ht="14.25">
      <c r="B11" t="s">
        <v>22</v>
      </c>
      <c r="C11" s="5" t="s">
        <v>23</v>
      </c>
      <c r="D11" s="6" t="s">
        <v>8</v>
      </c>
      <c r="E11" s="7">
        <v>0.40999999999999998</v>
      </c>
      <c r="F11" s="3">
        <v>1</v>
      </c>
      <c r="G11" s="8">
        <f>F11*E11</f>
        <v>0.40999999999999998</v>
      </c>
    </row>
    <row r="14" ht="14.25">
      <c r="G14" s="10"/>
    </row>
  </sheetData>
  <hyperlinks>
    <hyperlink r:id="rId1" ref="C4" tooltip=""/>
    <hyperlink r:id="rId2" ref="C6" tooltip=""/>
    <hyperlink r:id="rId3" ref="C7" tooltip=""/>
    <hyperlink r:id="rId4" ref="C8" tooltip=""/>
    <hyperlink r:id="rId5" ref="C9" tooltip=""/>
    <hyperlink r:id="rId6" ref="C10" tooltip=""/>
    <hyperlink r:id="rId7" ref="C11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00206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2026-05-01T22:11:14Z</dcterms:modified>
</cp:coreProperties>
</file>