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e de matériels (prototype)" sheetId="1" state="visible" r:id="rId1"/>
    <sheet name="Commandes" sheetId="2" state="visible" r:id="rId2"/>
    <sheet name="BOM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<sst xmlns="http://schemas.openxmlformats.org/spreadsheetml/2006/main" count="66" uniqueCount="66">
  <si>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>Nom</t>
  </si>
  <si>
    <t>Ref</t>
  </si>
  <si>
    <t>datasheet</t>
  </si>
  <si>
    <t>Fournisseur</t>
  </si>
  <si>
    <t>prix</t>
  </si>
  <si>
    <t>nombre</t>
  </si>
  <si>
    <t>somme</t>
  </si>
  <si>
    <t>ESP32</t>
  </si>
  <si>
    <t>XIAO-ESP32-S3</t>
  </si>
  <si>
    <t>./Datasheets/esp32-s3.pdf</t>
  </si>
  <si>
    <t>Mouser</t>
  </si>
  <si>
    <t xml:space="preserve">Module RFID</t>
  </si>
  <si>
    <t xml:space="preserve">Module SBC-RFID-RC522</t>
  </si>
  <si>
    <t>Inconnu</t>
  </si>
  <si>
    <t>Alimentation</t>
  </si>
  <si>
    <t xml:space="preserve">TSR 1-2433E</t>
  </si>
  <si>
    <t xml:space="preserve">./Datasheets/TSR 1-2433E - tsr1e_datasheet.pdf</t>
  </si>
  <si>
    <t xml:space="preserve">Écran OLED</t>
  </si>
  <si>
    <t xml:space="preserve">DST-015 (OLED based SSD1305)</t>
  </si>
  <si>
    <t>Bornier</t>
  </si>
  <si>
    <t>TB0011-350-04GR</t>
  </si>
  <si>
    <t>./Datasheets/TB0011-350-04GR.pdf</t>
  </si>
  <si>
    <t xml:space="preserve">transceiver UART &lt;-&gt; RS485</t>
  </si>
  <si>
    <t>MAX3485CSA+T</t>
  </si>
  <si>
    <t>./Datasheets/MAX3483_MAX3491.pdf</t>
  </si>
  <si>
    <t xml:space="preserve">Switch horizontal</t>
  </si>
  <si>
    <t>SLW-874744-6A-RA-N-D</t>
  </si>
  <si>
    <t>./Datasheets/slw_874744_6a_ra_n_d.pdf</t>
  </si>
  <si>
    <t xml:space="preserve">LED (ambre)</t>
  </si>
  <si>
    <t>LTST-C150AKT</t>
  </si>
  <si>
    <t xml:space="preserve">./Datasheets/AmberLed - LTST-C150AKT.pdf</t>
  </si>
  <si>
    <t xml:space="preserve">Résistance 68R</t>
  </si>
  <si>
    <t>AC1206JR-0768RL</t>
  </si>
  <si>
    <t xml:space="preserve">./Datasheets/68R - PYU_AC_51_ROHS_L.pdf</t>
  </si>
  <si>
    <t xml:space="preserve">Résistance 120R</t>
  </si>
  <si>
    <t xml:space="preserve"> RC1206JR-07120RL</t>
  </si>
  <si>
    <t xml:space="preserve">./Datasheets/120R - YAGEO_PYu_RC_Group_51_RoHS_L_12.pdf</t>
  </si>
  <si>
    <t xml:space="preserve">Résistance 4k7</t>
  </si>
  <si>
    <t>RC1206JR-104K7L</t>
  </si>
  <si>
    <t xml:space="preserve">Condensateur  10 uF ceram</t>
  </si>
  <si>
    <t>CL31A106MBHNNNE</t>
  </si>
  <si>
    <t xml:space="preserve">./Datasheets/Condensateur  10 uF ceram - DataSheet_CL31A106MBHNNN_20260505.pdf</t>
  </si>
  <si>
    <t xml:space="preserve">Condensateur  4,7 uF ceram</t>
  </si>
  <si>
    <t>GRM319R61H475KA12D</t>
  </si>
  <si>
    <t xml:space="preserve">./Datasheets/Condensateur  4,7 uF ceram - GRM319R61H475KA12_01A.pdf</t>
  </si>
  <si>
    <t xml:space="preserve">Condensateur  22 uF ceram</t>
  </si>
  <si>
    <t>RDEC71H226MWK1H03B</t>
  </si>
  <si>
    <t xml:space="preserve">./Datasheets/Condensateur  22 uF ceram - GRM188R61A226ME15-02A.pdf</t>
  </si>
  <si>
    <t xml:space="preserve">Condensateur  470 uF elec</t>
  </si>
  <si>
    <t>REF1020471M050K</t>
  </si>
  <si>
    <t xml:space="preserve">./Datasheets/Condensateur  470 uF elec - ref-series.pdf</t>
  </si>
  <si>
    <t xml:space="preserve">Fusible réarmable PTC</t>
  </si>
  <si>
    <t>MF-R050</t>
  </si>
  <si>
    <t>./Datasheets/PTC.pdf</t>
  </si>
  <si>
    <t xml:space="preserve">diode TVS</t>
  </si>
  <si>
    <t xml:space="preserve">./Datasheets/diode TVS - 824500281.pdf</t>
  </si>
  <si>
    <t xml:space="preserve">Diode Schottky</t>
  </si>
  <si>
    <t>BX36_R1_00001</t>
  </si>
  <si>
    <t xml:space="preserve">./Datasheets/Diode - BX36_R1_00001.pdf</t>
  </si>
  <si>
    <t xml:space="preserve">inductance de mode commun</t>
  </si>
  <si>
    <t>SS11VL-11050</t>
  </si>
  <si>
    <t xml:space="preserve">./Datasheets/induct - SS11VL_11050.pdf</t>
  </si>
  <si>
    <t>Varistance</t>
  </si>
  <si>
    <t>MOV-20D470K</t>
  </si>
  <si>
    <t xml:space="preserve">./Datasheets/Varistance - mov20d.pdf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</si>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</sst>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CHF-100C]_-;\-* #,##0.00\ [$CHF-100C]_-;_-* &quot;-&quot;??\ [$CHF-100C]_-;_-@_-"/>
  </numFmts>
  <fonts count="4">
    <font>
      <sz val="11.000000"/>
      <color theme="1"/>
      <name val="Calibri"/>
      <scheme val="minor"/>
    </font>
    <font>
      <u/>
      <sz val="11.000000"/>
      <color theme="10"/>
      <name val="Calibri"/>
    </font>
    <font>
      <sz val="11.000000"/>
      <name val="Calibri"/>
    </font>
    <font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3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>
      <alignment horizontal="right"/>
    </xf>
    <xf fontId="1" fillId="0" borderId="0" numFmtId="0" xfId="0" applyFont="1"/>
    <xf fontId="2" fillId="0" borderId="0" numFmtId="0" xfId="0" applyFont="1" applyAlignment="1">
      <alignment horizontal="center"/>
    </xf>
    <xf fontId="0" fillId="0" borderId="0" numFmtId="164" xfId="1" applyNumberFormat="1"/>
    <xf fontId="0" fillId="0" borderId="0" numFmtId="164" xfId="1" applyNumberFormat="1" applyAlignment="1">
      <alignment horizontal="right"/>
    </xf>
    <xf fontId="3" fillId="0" borderId="0" numFmtId="0" xfId="0" applyFont="1" applyAlignment="1">
      <alignment horizontal="center"/>
    </xf>
    <xf fontId="0" fillId="0" borderId="0" numFmtId="164" xfId="0" applyNumberFormat="1"/>
    <xf fontId="0" fillId="0" borderId="0" numFmtId="0" xfId="0"/>
    <xf fontId="1" fillId="0" borderId="0" numFmtId="0" xfId="0" applyFont="1" applyAlignment="1">
      <alignment horizontal="left"/>
    </xf>
    <xf fontId="0" fillId="0" borderId="0" numFmtId="0" xfId="0">
      <protection hidden="0" locked="1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mouser.ch/ProductDetail/Seeed-Studio/113991114?qs=3Rah4i%252BhyCEHk7Z4Wa73Xg%3D%3D&amp;mgh=1&amp;gad_campaignid=20000144849" TargetMode="External"/><Relationship  Id="rId10" Type="http://schemas.openxmlformats.org/officeDocument/2006/relationships/hyperlink" Target="https://www.mouser.ch/ProductDetail/Same-Sky/SLW-874744-6A-RA-N-D?qs=IKkN%2F947nfCTUBrapEhl3w%3D%3D" TargetMode="External"/><Relationship  Id="rId11" Type="http://schemas.openxmlformats.org/officeDocument/2006/relationships/hyperlink" Target="./Datasheets/slw_874744_6a_ra_n_d.pdf" TargetMode="External"/><Relationship  Id="rId12" Type="http://schemas.openxmlformats.org/officeDocument/2006/relationships/hyperlink" Target="https://www.mouser.ch/ProductDetail/LITEON/LTST-C150AKT?qs=osRiLXwIJd0WBpdBnGWjYQ%3D%3D" TargetMode="External"/><Relationship  Id="rId13" Type="http://schemas.openxmlformats.org/officeDocument/2006/relationships/hyperlink" Target="./Datasheets/AmberLed - LTST-C150AKT.pdf" TargetMode="External"/><Relationship  Id="rId14" Type="http://schemas.openxmlformats.org/officeDocument/2006/relationships/hyperlink" Target="https://www.mouser.ch/ProductDetail/YAGEO/AC1206JR-0768RL?qs=sGAEpiMZZMtlubZbdhIBIH9nMdKz1PS4cbS68O8anDU%3D" TargetMode="External"/><Relationship  Id="rId15" Type="http://schemas.openxmlformats.org/officeDocument/2006/relationships/hyperlink" Target="./Datasheets/68R - PYU_AC_51_ROHS_L.pdf" TargetMode="External"/><Relationship  Id="rId16" Type="http://schemas.openxmlformats.org/officeDocument/2006/relationships/hyperlink" Target="https://www.mouser.ch/ProductDetail/YAGEO/RC1206JR-07120RL?qs=sGAEpiMZZMtlubZbdhIBIA%2FbwdaGwAn1%2FLjWR2LFRS0%3D" TargetMode="External"/><Relationship  Id="rId17" Type="http://schemas.openxmlformats.org/officeDocument/2006/relationships/hyperlink" Target="./Datasheets/120R - YAGEO_PYu_RC_Group_51_RoHS_L_12.pdf" TargetMode="External"/><Relationship  Id="rId18" Type="http://schemas.openxmlformats.org/officeDocument/2006/relationships/hyperlink" Target="https://www.mouser.ch/ProductDetail/YAGEO/RC1206JR-104K7L?qs=sGAEpiMZZMtlubZbdhIBIItyFMA%252B5zWOk42r453nALc%3D" TargetMode="External"/><Relationship  Id="rId19" Type="http://schemas.openxmlformats.org/officeDocument/2006/relationships/hyperlink" Target="https://www.mouser.ch/ProductDetail/Samsung-Electro-Mechanics/CL31A106MBHNNNE?qs=vLWxofP3U2ynwxdpGjlUyw%3D%3D" TargetMode="External"/><Relationship  Id="rId2" Type="http://schemas.openxmlformats.org/officeDocument/2006/relationships/hyperlink" Target="./Datasheets/esp32-s3.pdf" TargetMode="External"/><Relationship  Id="rId20" Type="http://schemas.openxmlformats.org/officeDocument/2006/relationships/hyperlink" Target="./Datasheets/Condensateur  10 uF ceram - DataSheet_CL31A106MBHNNN_20260505.pdf" TargetMode="External"/><Relationship  Id="rId21" Type="http://schemas.openxmlformats.org/officeDocument/2006/relationships/hyperlink" Target="https://www.mouser.ch/ProductDetail/Murata-Electronics/GRM319R61H475KA12D?qs=O5cugoO6nwcJ%2FK8D7TJIYw%3D%3D" TargetMode="External"/><Relationship  Id="rId22" Type="http://schemas.openxmlformats.org/officeDocument/2006/relationships/hyperlink" Target="./Datasheets/Condensateur  4,7 uF ceram - GRM319R61H475KA12_01A.pdf" TargetMode="External"/><Relationship  Id="rId23" Type="http://schemas.openxmlformats.org/officeDocument/2006/relationships/hyperlink" Target="https://www.mouser.ch/ProductDetail/Murata-Electronics/RDEC71H226MWK1H03B?qs=sGAEpiMZZMuMW9TJLBQkXsN8i%2FQjbyMXHpqOO5jqXVc%3D" TargetMode="External"/><Relationship  Id="rId24" Type="http://schemas.openxmlformats.org/officeDocument/2006/relationships/hyperlink" Target="./Datasheets/Condensateur  22 uF ceram - GRM188R61A226ME15-02A.pdf" TargetMode="External"/><Relationship  Id="rId25" Type="http://schemas.openxmlformats.org/officeDocument/2006/relationships/hyperlink" Target="https://www.mouser.ch/ProductDetail/KYOCERA-AVX/REF1020471M050K?qs=sGAEpiMZZMvwFf0viD3Y3bXvgfG2gej7mHR%2FB9hNRW8g9PvCnJ1nvg%3D%3D" TargetMode="External"/><Relationship  Id="rId26" Type="http://schemas.openxmlformats.org/officeDocument/2006/relationships/hyperlink" Target="./Datasheets/Condensateur  470 uF elec - ref-series.pdf" TargetMode="External"/><Relationship  Id="rId27" Type="http://schemas.openxmlformats.org/officeDocument/2006/relationships/hyperlink" Target="https://www.mouser.ch/ProductDetail/Bourns/MF-R050?qs=A6omU7D3gEWzJRzbTsuTwA%3D%3D" TargetMode="External"/><Relationship  Id="rId28" Type="http://schemas.openxmlformats.org/officeDocument/2006/relationships/hyperlink" Target="./Datasheets/PTC.pdf" TargetMode="External"/><Relationship  Id="rId29" Type="http://schemas.openxmlformats.org/officeDocument/2006/relationships/hyperlink" Target="https://eu.mouser.com/ProductDetail/Wurth-Elektronik/824500281?qs=16w8nSHsg3tgziGD8s5n2A%3D%3D" TargetMode="External"/><Relationship  Id="rId3" Type="http://schemas.openxmlformats.org/officeDocument/2006/relationships/hyperlink" Target="https://eu.mouser.com/ProductDetail/TRACO-Power/TSR-1-2433E?qs=vmHwEFxEFR9haWIzn8wG3A%3D%3D" TargetMode="External"/><Relationship  Id="rId30" Type="http://schemas.openxmlformats.org/officeDocument/2006/relationships/hyperlink" Target="./Datasheets/diode TVS - 824500281.pdf" TargetMode="External"/><Relationship  Id="rId31" Type="http://schemas.openxmlformats.org/officeDocument/2006/relationships/hyperlink" Target="https://www.mouser.ch/ProductDetail/Panjit/BX36_R1_00001?qs=sPbYRqrBIVmjqOTXjM%2FXjA%3D%3D" TargetMode="External"/><Relationship  Id="rId32" Type="http://schemas.openxmlformats.org/officeDocument/2006/relationships/hyperlink" Target="./Datasheets/Diode - BX36_R1_00001.pd.pdf" TargetMode="External"/><Relationship  Id="rId33" Type="http://schemas.openxmlformats.org/officeDocument/2006/relationships/hyperlink" Target="https://www.mouser.fr/ProductDetail/KEMET/SS11VL-11050?qs=EU6FO9ffTwcryP%252B%2F%252BYgxUg%3D%3D" TargetMode="External"/><Relationship  Id="rId34" Type="http://schemas.openxmlformats.org/officeDocument/2006/relationships/hyperlink" Target="./Datasheets/induct - SS11VL_11050.pdf" TargetMode="External"/><Relationship  Id="rId35" Type="http://schemas.openxmlformats.org/officeDocument/2006/relationships/hyperlink" Target="https://www.mouser.fr/ProductDetail/Bourns/MOV-20D470K?qs=CQ3B1E%252BbPs3c5MjsJHIexQ%3D%3D" TargetMode="External"/><Relationship  Id="rId36" Type="http://schemas.openxmlformats.org/officeDocument/2006/relationships/hyperlink" Target="./Datasheets/Varistance - mov20d.pdf" TargetMode="External"/><Relationship  Id="rId4" Type="http://schemas.openxmlformats.org/officeDocument/2006/relationships/hyperlink" Target="./Datasheets/TSR 1-2433E - tsr1e_datasheet.pdf" TargetMode="External"/><Relationship  Id="rId5" Type="http://schemas.openxmlformats.org/officeDocument/2006/relationships/hyperlink" Target="https://www.mouser.ch/ProductDetail/ANAVI-Technology/CS-ANAVI-DISPLAY-1?qs=eP2BKZSCXI7%2F7KnedQ%252Barg%3D%3D&amp;mgh=1&amp;gad_campaignid=20000144849" TargetMode="External"/><Relationship  Id="rId6" Type="http://schemas.openxmlformats.org/officeDocument/2006/relationships/hyperlink" Target="https://eu.mouser.com/ProductDetail/Same-Sky/TB0011-350-04GR?qs=PBDs2xEllI8Qb4YnuFeAHQ%3D%3D" TargetMode="External"/><Relationship  Id="rId7" Type="http://schemas.openxmlformats.org/officeDocument/2006/relationships/hyperlink" Target="./Datasheets/TB0011-350-04GR.pdf" TargetMode="External"/><Relationship  Id="rId8" Type="http://schemas.openxmlformats.org/officeDocument/2006/relationships/hyperlink" Target="https://www.mouser.ch/ProductDetail/Analog-Devices-Maxim-Integrated/MAX3485CSA%2bT?qs=LHmEVA8xxfaEoE%252B%2FCK4kMg%3D%3D" TargetMode="External"/><Relationship  Id="rId9" Type="http://schemas.openxmlformats.org/officeDocument/2006/relationships/hyperlink" Target="./Datasheets/MAX3483_MAX349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4" tint="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customWidth="1" min="2" max="2" width="29.140625"/>
    <col bestFit="1" customWidth="1" min="3" max="3" width="27.7734375"/>
    <col bestFit="1" customWidth="1" min="4" max="4" width="76.75390625"/>
    <col bestFit="1" customWidth="1" min="5" max="5" width="10.86328125"/>
    <col bestFit="1" min="6" max="6" width="12.953125"/>
    <col bestFit="1" min="7" max="7" width="9.58203125"/>
    <col bestFit="1" min="8" max="8" width="12.953125"/>
    <col bestFit="1" min="10" max="10" width="11.69140625"/>
    <col bestFit="1" min="11" max="11" width="10.6328125"/>
  </cols>
  <sheetData>
    <row r="3" ht="14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3" t="s">
        <v>6</v>
      </c>
    </row>
    <row r="4" ht="14.25">
      <c r="B4" t="s">
        <v>7</v>
      </c>
      <c r="C4" s="4" t="s">
        <v>8</v>
      </c>
      <c r="D4" s="4" t="s">
        <v>9</v>
      </c>
      <c r="E4" s="5" t="s">
        <v>10</v>
      </c>
      <c r="F4" s="6">
        <v>5.9400000000000004</v>
      </c>
      <c r="G4" s="2">
        <v>1</v>
      </c>
      <c r="H4" s="7">
        <f t="shared" ref="H4:H9" si="0">G4*F4</f>
        <v>5.9400000000000004</v>
      </c>
    </row>
    <row r="5" ht="14.25">
      <c r="B5" t="s">
        <v>11</v>
      </c>
      <c r="C5" t="s">
        <v>12</v>
      </c>
      <c r="D5" s="4"/>
      <c r="E5" s="8" t="s">
        <v>13</v>
      </c>
      <c r="F5" s="6">
        <v>8</v>
      </c>
      <c r="G5" s="2">
        <v>1</v>
      </c>
      <c r="H5" s="7">
        <f t="shared" si="0"/>
        <v>8</v>
      </c>
      <c r="K5" s="9"/>
    </row>
    <row r="6" ht="14.25">
      <c r="B6" t="s">
        <v>14</v>
      </c>
      <c r="C6" s="4" t="s">
        <v>15</v>
      </c>
      <c r="D6" s="4" t="s">
        <v>16</v>
      </c>
      <c r="E6" s="5" t="s">
        <v>10</v>
      </c>
      <c r="F6" s="6">
        <v>2.9199999999999999</v>
      </c>
      <c r="G6" s="2">
        <v>1</v>
      </c>
      <c r="H6" s="7">
        <f t="shared" si="0"/>
        <v>2.9199999999999999</v>
      </c>
      <c r="J6" s="9"/>
    </row>
    <row r="7" ht="14.25">
      <c r="B7" t="s">
        <v>17</v>
      </c>
      <c r="C7" s="4" t="s">
        <v>18</v>
      </c>
      <c r="D7" s="4"/>
      <c r="E7" s="5" t="s">
        <v>10</v>
      </c>
      <c r="F7" s="6">
        <v>5.3600000000000003</v>
      </c>
      <c r="G7" s="2">
        <v>1</v>
      </c>
      <c r="H7" s="7">
        <f t="shared" si="0"/>
        <v>5.3600000000000003</v>
      </c>
      <c r="J7" s="9"/>
    </row>
    <row r="8" ht="14.25">
      <c r="B8" t="s">
        <v>19</v>
      </c>
      <c r="C8" s="4" t="s">
        <v>20</v>
      </c>
      <c r="D8" s="4" t="s">
        <v>21</v>
      </c>
      <c r="E8" s="5" t="s">
        <v>10</v>
      </c>
      <c r="F8" s="6">
        <v>0.70999999999999996</v>
      </c>
      <c r="G8" s="2">
        <v>2</v>
      </c>
      <c r="H8" s="7">
        <f t="shared" si="0"/>
        <v>1.4199999999999999</v>
      </c>
    </row>
    <row r="9" ht="14.25">
      <c r="B9" t="s">
        <v>22</v>
      </c>
      <c r="C9" s="4" t="s">
        <v>23</v>
      </c>
      <c r="D9" s="4" t="s">
        <v>24</v>
      </c>
      <c r="E9" s="5" t="s">
        <v>10</v>
      </c>
      <c r="F9" s="6">
        <v>5.0700000000000003</v>
      </c>
      <c r="G9" s="2">
        <v>1</v>
      </c>
      <c r="H9" s="7">
        <f t="shared" si="0"/>
        <v>5.0700000000000003</v>
      </c>
    </row>
    <row r="10" ht="14.25">
      <c r="B10" t="s">
        <v>25</v>
      </c>
      <c r="C10" s="4" t="s">
        <v>26</v>
      </c>
      <c r="D10" s="4" t="s">
        <v>27</v>
      </c>
      <c r="E10" s="5" t="s">
        <v>10</v>
      </c>
      <c r="F10" s="6">
        <v>0.40999999999999998</v>
      </c>
      <c r="G10" s="2">
        <v>1</v>
      </c>
      <c r="H10" s="7">
        <f t="shared" ref="H10:H23" si="1">G10*F10</f>
        <v>0.40999999999999998</v>
      </c>
    </row>
    <row r="11" ht="14.25">
      <c r="B11" t="s">
        <v>28</v>
      </c>
      <c r="C11" s="4" t="s">
        <v>29</v>
      </c>
      <c r="D11" s="4" t="s">
        <v>30</v>
      </c>
      <c r="E11" s="5" t="s">
        <v>10</v>
      </c>
      <c r="F11" s="6">
        <v>0.11</v>
      </c>
      <c r="G11" s="2">
        <v>2</v>
      </c>
      <c r="H11" s="7">
        <f t="shared" si="1"/>
        <v>0.22</v>
      </c>
    </row>
    <row r="12" ht="14.25">
      <c r="B12" t="s">
        <v>31</v>
      </c>
      <c r="C12" s="4" t="s">
        <v>32</v>
      </c>
      <c r="D12" s="4" t="s">
        <v>33</v>
      </c>
      <c r="E12" s="5" t="s">
        <v>10</v>
      </c>
      <c r="F12" s="6">
        <v>8.0000000000000002e-002</v>
      </c>
      <c r="G12" s="2">
        <v>2</v>
      </c>
      <c r="H12" s="7">
        <f t="shared" si="1"/>
        <v>0.16</v>
      </c>
    </row>
    <row r="13" ht="14.25">
      <c r="B13" s="10" t="s">
        <v>34</v>
      </c>
      <c r="C13" s="4" t="s">
        <v>35</v>
      </c>
      <c r="D13" s="4" t="s">
        <v>36</v>
      </c>
      <c r="E13" s="5" t="s">
        <v>10</v>
      </c>
      <c r="F13" s="6">
        <v>8.0000000000000002e-002</v>
      </c>
      <c r="G13" s="2">
        <v>1</v>
      </c>
      <c r="H13" s="7">
        <f t="shared" si="1"/>
        <v>8.0000000000000002e-002</v>
      </c>
    </row>
    <row r="14" ht="14.25">
      <c r="B14" s="10" t="s">
        <v>37</v>
      </c>
      <c r="C14" s="4" t="s">
        <v>38</v>
      </c>
      <c r="D14" s="4" t="s">
        <v>36</v>
      </c>
      <c r="E14" s="5" t="s">
        <v>10</v>
      </c>
      <c r="F14" s="6">
        <v>8.0000000000000002e-002</v>
      </c>
      <c r="G14" s="2">
        <v>2</v>
      </c>
      <c r="H14" s="7">
        <f t="shared" si="1"/>
        <v>0.16</v>
      </c>
    </row>
    <row r="15" ht="14.25">
      <c r="B15" t="s">
        <v>39</v>
      </c>
      <c r="C15" s="4" t="s">
        <v>40</v>
      </c>
      <c r="D15" s="4" t="s">
        <v>41</v>
      </c>
      <c r="E15" s="5" t="s">
        <v>10</v>
      </c>
      <c r="F15" s="6">
        <v>0.20999999999999999</v>
      </c>
      <c r="G15" s="2">
        <v>1</v>
      </c>
      <c r="H15" s="7">
        <f t="shared" si="1"/>
        <v>0.20999999999999999</v>
      </c>
    </row>
    <row r="16" ht="14.25">
      <c r="B16" s="10" t="s">
        <v>42</v>
      </c>
      <c r="C16" s="4" t="s">
        <v>43</v>
      </c>
      <c r="D16" s="4" t="s">
        <v>44</v>
      </c>
      <c r="E16" s="5" t="s">
        <v>10</v>
      </c>
      <c r="F16" s="6">
        <v>0.17999999999999999</v>
      </c>
      <c r="G16" s="2">
        <v>1</v>
      </c>
      <c r="H16" s="7">
        <f t="shared" si="1"/>
        <v>0.17999999999999999</v>
      </c>
    </row>
    <row r="17" ht="14.25">
      <c r="B17" s="10" t="s">
        <v>45</v>
      </c>
      <c r="C17" s="4" t="s">
        <v>46</v>
      </c>
      <c r="D17" s="4" t="s">
        <v>47</v>
      </c>
      <c r="E17" s="5" t="s">
        <v>10</v>
      </c>
      <c r="F17" s="6">
        <v>1.3100000000000001</v>
      </c>
      <c r="G17" s="2">
        <v>1</v>
      </c>
      <c r="H17" s="7">
        <f t="shared" si="1"/>
        <v>1.3100000000000001</v>
      </c>
    </row>
    <row r="18" ht="14.25">
      <c r="B18" s="10" t="s">
        <v>48</v>
      </c>
      <c r="C18" s="4" t="s">
        <v>49</v>
      </c>
      <c r="D18" s="4" t="s">
        <v>50</v>
      </c>
      <c r="E18" s="5" t="s">
        <v>10</v>
      </c>
      <c r="F18" s="6">
        <v>0.56999999999999995</v>
      </c>
      <c r="G18" s="2">
        <v>1</v>
      </c>
      <c r="H18" s="7">
        <f t="shared" si="1"/>
        <v>0.56999999999999995</v>
      </c>
    </row>
    <row r="19" ht="14.25">
      <c r="B19" t="s">
        <v>51</v>
      </c>
      <c r="C19" s="4" t="s">
        <v>52</v>
      </c>
      <c r="D19" s="4" t="s">
        <v>53</v>
      </c>
      <c r="E19" s="5" t="s">
        <v>10</v>
      </c>
      <c r="F19" s="6">
        <v>0.32000000000000001</v>
      </c>
      <c r="G19" s="2">
        <v>1</v>
      </c>
      <c r="H19" s="7">
        <f t="shared" si="1"/>
        <v>0.32000000000000001</v>
      </c>
    </row>
    <row r="20" ht="14.25">
      <c r="B20" t="s">
        <v>54</v>
      </c>
      <c r="C20" s="11">
        <v>824500281</v>
      </c>
      <c r="D20" s="4" t="s">
        <v>55</v>
      </c>
      <c r="E20" s="5" t="s">
        <v>10</v>
      </c>
      <c r="F20" s="6">
        <v>0.26000000000000001</v>
      </c>
      <c r="G20" s="2">
        <v>1</v>
      </c>
      <c r="H20" s="7">
        <f t="shared" si="1"/>
        <v>0.26000000000000001</v>
      </c>
    </row>
    <row r="21" ht="14.25">
      <c r="B21" s="12" t="s">
        <v>56</v>
      </c>
      <c r="C21" s="4" t="s">
        <v>57</v>
      </c>
      <c r="D21" s="4" t="s">
        <v>58</v>
      </c>
      <c r="E21" s="5" t="s">
        <v>10</v>
      </c>
      <c r="F21" s="6">
        <v>0.29999999999999999</v>
      </c>
      <c r="G21" s="2">
        <v>1</v>
      </c>
      <c r="H21" s="7">
        <f t="shared" si="1"/>
        <v>0.29999999999999999</v>
      </c>
    </row>
    <row r="22" ht="14.25">
      <c r="B22" t="s">
        <v>59</v>
      </c>
      <c r="C22" s="4" t="s">
        <v>60</v>
      </c>
      <c r="D22" s="4" t="s">
        <v>61</v>
      </c>
      <c r="E22" s="5" t="s">
        <v>10</v>
      </c>
      <c r="F22" s="6">
        <v>1.49</v>
      </c>
      <c r="G22" s="2">
        <v>1</v>
      </c>
      <c r="H22" s="7">
        <f t="shared" si="1"/>
        <v>1.49</v>
      </c>
    </row>
    <row r="23" ht="14.25">
      <c r="B23" t="s">
        <v>62</v>
      </c>
      <c r="C23" s="4" t="s">
        <v>63</v>
      </c>
      <c r="D23" s="4" t="s">
        <v>64</v>
      </c>
      <c r="E23" s="5" t="s">
        <v>10</v>
      </c>
      <c r="F23" s="6">
        <v>0.67000000000000004</v>
      </c>
      <c r="G23" s="2">
        <v>1</v>
      </c>
      <c r="H23" s="7">
        <f t="shared" si="1"/>
        <v>0.67000000000000004</v>
      </c>
    </row>
    <row r="25" ht="14.25">
      <c r="G25" t="s">
        <v>65</v>
      </c>
      <c r="H25" s="9">
        <f>SUM(H4:H22)</f>
        <v>34.379999999999995</v>
      </c>
    </row>
  </sheetData>
  <hyperlinks>
    <hyperlink r:id="rId1" ref="C4" tooltip=""/>
    <hyperlink r:id="rId2" ref="D4" tooltip=""/>
    <hyperlink r:id="rId3" ref="C6" tooltip=""/>
    <hyperlink r:id="rId4" ref="D6" tooltip=""/>
    <hyperlink r:id="rId5" ref="C7" tooltip=""/>
    <hyperlink r:id="rId6" ref="C8" tooltip=""/>
    <hyperlink r:id="rId7" ref="D8" tooltip=""/>
    <hyperlink r:id="rId8" ref="C9" tooltip=""/>
    <hyperlink r:id="rId9" ref="D9" tooltip=""/>
    <hyperlink r:id="rId10" ref="C10" tooltip=""/>
    <hyperlink r:id="rId11" ref="D10" tooltip=""/>
    <hyperlink r:id="rId12" ref="C11" tooltip=""/>
    <hyperlink r:id="rId13" ref="D11" tooltip=""/>
    <hyperlink r:id="rId14" ref="C12" tooltip=""/>
    <hyperlink r:id="rId15" ref="D12" tooltip=""/>
    <hyperlink r:id="rId16" ref="C13" tooltip=""/>
    <hyperlink r:id="rId17" ref="D13" tooltip=""/>
    <hyperlink r:id="rId18" ref="C14" tooltip=""/>
    <hyperlink r:id="rId17" ref="D14" tooltip=""/>
    <hyperlink r:id="rId19" ref="C15" tooltip=""/>
    <hyperlink r:id="rId20" ref="D15" tooltip=""/>
    <hyperlink r:id="rId21" ref="C16" tooltip=""/>
    <hyperlink r:id="rId22" ref="D16" tooltip=""/>
    <hyperlink r:id="rId23" ref="C17" tooltip=""/>
    <hyperlink r:id="rId24" ref="D17" tooltip=""/>
    <hyperlink r:id="rId25" ref="C18" tooltip=""/>
    <hyperlink r:id="rId26" ref="D18" tooltip=""/>
    <hyperlink r:id="rId27" ref="C19" tooltip=""/>
    <hyperlink r:id="rId28" ref="D19" tooltip=""/>
    <hyperlink r:id="rId29" ref="C20" tooltip=""/>
    <hyperlink r:id="rId30" ref="D20" tooltip=""/>
    <hyperlink r:id="rId31" ref="C21" tooltip=""/>
    <hyperlink r:id="rId32" ref="D21" tooltip=""/>
    <hyperlink r:id="rId33" ref="C22" tooltip=""/>
    <hyperlink r:id="rId34" ref="D22" tooltip=""/>
    <hyperlink r:id="rId35" ref="C23" tooltip=""/>
    <hyperlink r:id="rId36" ref="D23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 tint="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206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2026-05-05T17:28:43Z</dcterms:modified>
</cp:coreProperties>
</file>